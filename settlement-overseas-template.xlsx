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16b3bda68e33b/문서/"/>
    </mc:Choice>
  </mc:AlternateContent>
  <xr:revisionPtr revIDLastSave="0" documentId="8_{31C138A3-9BED-426D-BE6A-EDA7601D5050}" xr6:coauthVersionLast="47" xr6:coauthVersionMax="47" xr10:uidLastSave="{00000000-0000-0000-0000-000000000000}"/>
  <bookViews>
    <workbookView xWindow="1820" yWindow="1820" windowWidth="19200" windowHeight="11260" activeTab="1" xr2:uid="{FB9D1A2E-8346-4952-8DE6-46FF984E2082}"/>
  </bookViews>
  <sheets>
    <sheet name="검수원본" sheetId="9" r:id="rId1"/>
    <sheet name="세틀" sheetId="10" r:id="rId2"/>
  </sheets>
  <definedNames>
    <definedName name="_xlnm.Print_Area" localSheetId="0">검수원본!$A$1:$I$115</definedName>
    <definedName name="_xlnm.Print_Area" localSheetId="1">세틀!$A$1:$I$84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3" i="10" l="1"/>
  <c r="J71" i="10"/>
  <c r="J61" i="10"/>
  <c r="J60" i="10"/>
  <c r="E73" i="10" l="1"/>
  <c r="E72" i="10"/>
  <c r="E70" i="10"/>
  <c r="E61" i="10"/>
  <c r="E58" i="10"/>
  <c r="D38" i="10"/>
  <c r="E39" i="10"/>
  <c r="F77" i="10" l="1"/>
  <c r="B77" i="10"/>
  <c r="J76" i="10"/>
  <c r="H76" i="10"/>
  <c r="D76" i="10"/>
  <c r="J75" i="10"/>
  <c r="H75" i="10"/>
  <c r="H74" i="10"/>
  <c r="D74" i="10"/>
  <c r="H73" i="10"/>
  <c r="D73" i="10"/>
  <c r="J72" i="10"/>
  <c r="H72" i="10"/>
  <c r="D72" i="10"/>
  <c r="H71" i="10"/>
  <c r="H70" i="10"/>
  <c r="D70" i="10"/>
  <c r="J69" i="10"/>
  <c r="H69" i="10"/>
  <c r="H68" i="10"/>
  <c r="H67" i="10"/>
  <c r="H66" i="10"/>
  <c r="H65" i="10"/>
  <c r="H64" i="10"/>
  <c r="H63" i="10"/>
  <c r="H62" i="10"/>
  <c r="D62" i="10"/>
  <c r="H61" i="10"/>
  <c r="D61" i="10"/>
  <c r="H60" i="10"/>
  <c r="D60" i="10"/>
  <c r="J59" i="10"/>
  <c r="H59" i="10"/>
  <c r="H58" i="10"/>
  <c r="D58" i="10"/>
  <c r="J57" i="10"/>
  <c r="H57" i="10"/>
  <c r="H56" i="10"/>
  <c r="H55" i="10"/>
  <c r="D55" i="10"/>
  <c r="J54" i="10"/>
  <c r="H54" i="10"/>
  <c r="H53" i="10"/>
  <c r="D53" i="10"/>
  <c r="J52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D40" i="10"/>
  <c r="J39" i="10"/>
  <c r="H39" i="10"/>
  <c r="D39" i="10"/>
  <c r="J38" i="10"/>
  <c r="H38" i="10"/>
  <c r="J37" i="10"/>
  <c r="H37" i="10"/>
  <c r="H36" i="10"/>
  <c r="D36" i="10"/>
  <c r="J35" i="10"/>
  <c r="H35" i="10"/>
  <c r="H34" i="10"/>
  <c r="H33" i="10"/>
  <c r="H32" i="10"/>
  <c r="H31" i="10"/>
  <c r="H30" i="10"/>
  <c r="H29" i="10"/>
  <c r="H28" i="10"/>
  <c r="H27" i="10"/>
  <c r="H26" i="10"/>
  <c r="H25" i="10"/>
  <c r="D25" i="10"/>
  <c r="J24" i="10"/>
  <c r="H24" i="10"/>
  <c r="H23" i="10"/>
  <c r="D23" i="10"/>
  <c r="J22" i="10"/>
  <c r="H22" i="10"/>
  <c r="H21" i="10"/>
  <c r="H20" i="10"/>
  <c r="H19" i="10"/>
  <c r="H18" i="10"/>
  <c r="D18" i="10"/>
  <c r="J17" i="10"/>
  <c r="H16" i="10"/>
  <c r="H15" i="10"/>
  <c r="H14" i="10"/>
  <c r="H13" i="10"/>
  <c r="D13" i="10"/>
  <c r="J44" i="9"/>
  <c r="J43" i="9"/>
  <c r="H43" i="9"/>
  <c r="H44" i="9"/>
  <c r="D77" i="10" l="1"/>
  <c r="H77" i="10"/>
  <c r="H80" i="10" s="1"/>
  <c r="H82" i="10" s="1"/>
  <c r="J77" i="10"/>
  <c r="J102" i="9"/>
  <c r="J101" i="9"/>
  <c r="H101" i="9"/>
  <c r="H100" i="9"/>
  <c r="H99" i="9"/>
  <c r="H98" i="9"/>
  <c r="H97" i="9"/>
  <c r="H96" i="9"/>
  <c r="H95" i="9"/>
  <c r="H92" i="9"/>
  <c r="J93" i="9"/>
  <c r="H93" i="9"/>
  <c r="H91" i="9"/>
  <c r="H90" i="9"/>
  <c r="H89" i="9"/>
  <c r="H88" i="9"/>
  <c r="H87" i="9"/>
  <c r="H81" i="9"/>
  <c r="J85" i="9"/>
  <c r="H85" i="9"/>
  <c r="H84" i="9"/>
  <c r="H83" i="9"/>
  <c r="H82" i="9"/>
  <c r="H80" i="9"/>
  <c r="H79" i="9"/>
  <c r="H78" i="9"/>
  <c r="H77" i="9"/>
  <c r="H76" i="9"/>
  <c r="H75" i="9"/>
  <c r="H74" i="9"/>
  <c r="H73" i="9"/>
  <c r="H72" i="9"/>
  <c r="H71" i="9"/>
  <c r="H70" i="9"/>
  <c r="J68" i="9"/>
  <c r="H68" i="9"/>
  <c r="H67" i="9"/>
  <c r="J65" i="9"/>
  <c r="H65" i="9"/>
  <c r="J63" i="9"/>
  <c r="H63" i="9"/>
  <c r="H62" i="9"/>
  <c r="J107" i="9"/>
  <c r="J58" i="9"/>
  <c r="H47" i="9"/>
  <c r="H58" i="9"/>
  <c r="H57" i="9"/>
  <c r="H56" i="9"/>
  <c r="H55" i="9"/>
  <c r="H51" i="9"/>
  <c r="H54" i="9"/>
  <c r="H53" i="9"/>
  <c r="H52" i="9"/>
  <c r="H50" i="9"/>
  <c r="H49" i="9"/>
  <c r="H48" i="9"/>
  <c r="J45" i="9" l="1"/>
  <c r="J41" i="9"/>
  <c r="H41" i="9"/>
  <c r="H40" i="9"/>
  <c r="H39" i="9"/>
  <c r="H38" i="9"/>
  <c r="H37" i="9"/>
  <c r="H36" i="9"/>
  <c r="H35" i="9"/>
  <c r="H34" i="9"/>
  <c r="H33" i="9"/>
  <c r="H32" i="9"/>
  <c r="H31" i="9"/>
  <c r="J29" i="9"/>
  <c r="H29" i="9"/>
  <c r="H28" i="9"/>
  <c r="J26" i="9"/>
  <c r="H26" i="9"/>
  <c r="H25" i="9"/>
  <c r="H24" i="9"/>
  <c r="H22" i="9"/>
  <c r="H21" i="9"/>
  <c r="H23" i="9" l="1"/>
  <c r="H20" i="9"/>
  <c r="J60" i="9" l="1"/>
  <c r="H60" i="9"/>
  <c r="H61" i="9"/>
  <c r="H64" i="9"/>
  <c r="J104" i="9"/>
  <c r="H104" i="9"/>
  <c r="H105" i="9"/>
  <c r="J106" i="9"/>
  <c r="H106" i="9"/>
  <c r="J18" i="9" l="1"/>
  <c r="J108" i="9" s="1"/>
  <c r="H14" i="9"/>
  <c r="H15" i="9"/>
  <c r="H16" i="9"/>
  <c r="H17" i="9"/>
  <c r="H18" i="9"/>
  <c r="H19" i="9"/>
  <c r="H86" i="9" l="1"/>
  <c r="H94" i="9"/>
  <c r="H102" i="9"/>
  <c r="H103" i="9"/>
  <c r="H107" i="9"/>
  <c r="D19" i="9"/>
  <c r="D27" i="9"/>
  <c r="D30" i="9"/>
  <c r="D42" i="9"/>
  <c r="D44" i="9"/>
  <c r="D45" i="9"/>
  <c r="D46" i="9"/>
  <c r="D59" i="9"/>
  <c r="D61" i="9"/>
  <c r="D64" i="9"/>
  <c r="D66" i="9"/>
  <c r="D69" i="9"/>
  <c r="D86" i="9"/>
  <c r="D94" i="9"/>
  <c r="D102" i="9"/>
  <c r="D103" i="9"/>
  <c r="D105" i="9"/>
  <c r="D107" i="9"/>
  <c r="H46" i="9" l="1"/>
  <c r="F108" i="9" l="1"/>
  <c r="B108" i="9"/>
  <c r="H69" i="9"/>
  <c r="H66" i="9"/>
  <c r="H45" i="9"/>
  <c r="H42" i="9"/>
  <c r="H59" i="9"/>
  <c r="H30" i="9"/>
  <c r="H27" i="9"/>
  <c r="H13" i="9"/>
  <c r="D13" i="9"/>
  <c r="D108" i="9" l="1"/>
  <c r="H108" i="9"/>
  <c r="H111" i="9" s="1"/>
  <c r="H113" i="9" s="1"/>
</calcChain>
</file>

<file path=xl/sharedStrings.xml><?xml version="1.0" encoding="utf-8"?>
<sst xmlns="http://schemas.openxmlformats.org/spreadsheetml/2006/main" count="306" uniqueCount="131">
  <si>
    <t>Messrs.</t>
    <phoneticPr fontId="2" type="noConversion"/>
  </si>
  <si>
    <t>Date :</t>
    <phoneticPr fontId="2" type="noConversion"/>
  </si>
  <si>
    <t>P/O No :</t>
    <phoneticPr fontId="2" type="noConversion"/>
  </si>
  <si>
    <t>Actual value</t>
    <phoneticPr fontId="2" type="noConversion"/>
  </si>
  <si>
    <t>Balance</t>
    <phoneticPr fontId="2" type="noConversion"/>
  </si>
  <si>
    <t>Actual Value After Inspection</t>
    <phoneticPr fontId="2" type="noConversion"/>
  </si>
  <si>
    <t>Invoice Value</t>
    <phoneticPr fontId="2" type="noConversion"/>
  </si>
  <si>
    <t>Description</t>
    <phoneticPr fontId="2" type="noConversion"/>
  </si>
  <si>
    <t>Weight(Kg)</t>
    <phoneticPr fontId="2" type="noConversion"/>
  </si>
  <si>
    <t>SELLER</t>
    <phoneticPr fontId="2" type="noConversion"/>
  </si>
  <si>
    <t>BUYER</t>
    <phoneticPr fontId="2" type="noConversion"/>
  </si>
  <si>
    <t xml:space="preserve"> SHIN SUNG METAL CO.,LTD</t>
    <phoneticPr fontId="2" type="noConversion"/>
  </si>
  <si>
    <t>TOTAL</t>
    <phoneticPr fontId="2" type="noConversion"/>
  </si>
  <si>
    <t>INVOICE No :</t>
    <phoneticPr fontId="2" type="noConversion"/>
  </si>
  <si>
    <t>Provisonal Payment ( 90% )</t>
    <phoneticPr fontId="2" type="noConversion"/>
  </si>
  <si>
    <t xml:space="preserve">10F Namba Plaza Bld 5-7 Motomachi </t>
    <phoneticPr fontId="2" type="noConversion"/>
  </si>
  <si>
    <t>1-Chome NANIWA-Ku Osaka JAPAN</t>
    <phoneticPr fontId="2" type="noConversion"/>
  </si>
  <si>
    <t>TEL: +816-6630-7066   FAX: +816-6630-7067</t>
    <phoneticPr fontId="2" type="noConversion"/>
  </si>
  <si>
    <t>Settlement Report</t>
    <phoneticPr fontId="2" type="noConversion"/>
  </si>
  <si>
    <t>Amount(USD)</t>
    <phoneticPr fontId="2" type="noConversion"/>
  </si>
  <si>
    <t>Price(USD/Kg)</t>
    <phoneticPr fontId="2" type="noConversion"/>
  </si>
  <si>
    <t>FUJI MATERIAL COMPANY LTD</t>
    <phoneticPr fontId="2" type="noConversion"/>
  </si>
  <si>
    <t>Remark</t>
    <phoneticPr fontId="2" type="noConversion"/>
  </si>
  <si>
    <t>CP Ti Solid</t>
    <phoneticPr fontId="2" type="noConversion"/>
  </si>
  <si>
    <t>HastC22 Solid</t>
    <phoneticPr fontId="2" type="noConversion"/>
  </si>
  <si>
    <t>HastC276 Solid</t>
    <phoneticPr fontId="2" type="noConversion"/>
  </si>
  <si>
    <t>HastC22 Turning</t>
    <phoneticPr fontId="2" type="noConversion"/>
  </si>
  <si>
    <t>625 Turning</t>
    <phoneticPr fontId="2" type="noConversion"/>
  </si>
  <si>
    <t>SS-260227</t>
    <phoneticPr fontId="2" type="noConversion"/>
  </si>
  <si>
    <t>P0358</t>
    <phoneticPr fontId="2" type="noConversion"/>
  </si>
  <si>
    <t>718 Turning</t>
    <phoneticPr fontId="2" type="noConversion"/>
  </si>
  <si>
    <t>718 Solid (AS)</t>
    <phoneticPr fontId="2" type="noConversion"/>
  </si>
  <si>
    <t>718 Solid (VS)</t>
    <phoneticPr fontId="2" type="noConversion"/>
  </si>
  <si>
    <t>Waspaloy Turning</t>
    <phoneticPr fontId="2" type="noConversion"/>
  </si>
  <si>
    <t>Waspaloy Solid</t>
    <phoneticPr fontId="2" type="noConversion"/>
  </si>
  <si>
    <t>Waspaloy Milling</t>
    <phoneticPr fontId="2" type="noConversion"/>
  </si>
  <si>
    <t>625 Solid</t>
    <phoneticPr fontId="2" type="noConversion"/>
  </si>
  <si>
    <t>713 Solid</t>
    <phoneticPr fontId="2" type="noConversion"/>
  </si>
  <si>
    <t>713 Mix Blade</t>
    <phoneticPr fontId="2" type="noConversion"/>
  </si>
  <si>
    <t>PWA1481</t>
    <phoneticPr fontId="2" type="noConversion"/>
  </si>
  <si>
    <t>Rene77 Blade</t>
    <phoneticPr fontId="2" type="noConversion"/>
  </si>
  <si>
    <t>Wco with SKD</t>
    <phoneticPr fontId="2" type="noConversion"/>
  </si>
  <si>
    <t>Ni-B Turning</t>
    <phoneticPr fontId="2" type="noConversion"/>
  </si>
  <si>
    <t>Ni Powder</t>
    <phoneticPr fontId="2" type="noConversion"/>
  </si>
  <si>
    <t>Ni 50% Mix Turning</t>
    <phoneticPr fontId="2" type="noConversion"/>
  </si>
  <si>
    <t>625, C263, A286 Mix</t>
    <phoneticPr fontId="2" type="noConversion"/>
  </si>
  <si>
    <t>718 VS</t>
    <phoneticPr fontId="2" type="noConversion"/>
  </si>
  <si>
    <t>718 AS</t>
    <phoneticPr fontId="2" type="noConversion"/>
  </si>
  <si>
    <t>C-22 Turning</t>
    <phoneticPr fontId="2" type="noConversion"/>
  </si>
  <si>
    <t>Fe</t>
    <phoneticPr fontId="2" type="noConversion"/>
  </si>
  <si>
    <t>718 Mix</t>
    <phoneticPr fontId="2" type="noConversion"/>
  </si>
  <si>
    <t>Ni 65 Cr 5 Co 7 Turning</t>
    <phoneticPr fontId="2" type="noConversion"/>
  </si>
  <si>
    <t>Ni 60 Cr 18 Co 13 Mo 4 Turning</t>
    <phoneticPr fontId="2" type="noConversion"/>
  </si>
  <si>
    <t>사이즈 미달</t>
    <phoneticPr fontId="2" type="noConversion"/>
  </si>
  <si>
    <t>625 Solid (AS)</t>
    <phoneticPr fontId="2" type="noConversion"/>
  </si>
  <si>
    <t>Zn 1%</t>
    <phoneticPr fontId="2" type="noConversion"/>
  </si>
  <si>
    <t>용접,실컷팅,사이즈미달</t>
    <phoneticPr fontId="2" type="noConversion"/>
  </si>
  <si>
    <t>600 Solid</t>
    <phoneticPr fontId="2" type="noConversion"/>
  </si>
  <si>
    <t>Ni 45 Cr 15 Mo 3 Solid</t>
    <phoneticPr fontId="2" type="noConversion"/>
  </si>
  <si>
    <t>실컷팅 및 고철부착</t>
    <phoneticPr fontId="2" type="noConversion"/>
  </si>
  <si>
    <t>Ni 42 Solid</t>
    <phoneticPr fontId="2" type="noConversion"/>
  </si>
  <si>
    <t>NI42%+AG+Pd(노대표님확인,지시사항)</t>
    <phoneticPr fontId="2" type="noConversion"/>
  </si>
  <si>
    <r>
      <rPr>
        <sz val="12"/>
        <color theme="1"/>
        <rFont val="돋움"/>
        <family val="3"/>
        <charset val="129"/>
      </rPr>
      <t>실컷팅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용접</t>
    </r>
    <phoneticPr fontId="2" type="noConversion"/>
  </si>
  <si>
    <t>CMSX 4 VS</t>
    <phoneticPr fontId="2" type="noConversion"/>
  </si>
  <si>
    <t>713 VS</t>
    <phoneticPr fontId="2" type="noConversion"/>
  </si>
  <si>
    <t>LC</t>
    <phoneticPr fontId="2" type="noConversion"/>
  </si>
  <si>
    <t>Mar M002 VS</t>
    <phoneticPr fontId="2" type="noConversion"/>
  </si>
  <si>
    <t>Mar M247 VS</t>
    <phoneticPr fontId="2" type="noConversion"/>
  </si>
  <si>
    <t>Mar M200 VS</t>
    <phoneticPr fontId="2" type="noConversion"/>
  </si>
  <si>
    <t>C</t>
    <phoneticPr fontId="2" type="noConversion"/>
  </si>
  <si>
    <r>
      <t>C / 성보출하</t>
    </r>
    <r>
      <rPr>
        <sz val="11"/>
        <color theme="1"/>
        <rFont val="돋움"/>
        <family val="2"/>
        <charset val="129"/>
      </rPr>
      <t xml:space="preserve"> / Pin 제거</t>
    </r>
    <phoneticPr fontId="2" type="noConversion"/>
  </si>
  <si>
    <t>Ni 55 Cr 15 Co 3 Mo 3 Solid</t>
    <phoneticPr fontId="2" type="noConversion"/>
  </si>
  <si>
    <r>
      <rPr>
        <sz val="11"/>
        <color theme="1"/>
        <rFont val="돋움"/>
        <family val="3"/>
        <charset val="129"/>
      </rPr>
      <t>블레이드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절단조각</t>
    </r>
    <r>
      <rPr>
        <sz val="11"/>
        <color theme="1"/>
        <rFont val="Arial"/>
        <family val="2"/>
      </rPr>
      <t>(</t>
    </r>
    <r>
      <rPr>
        <sz val="11"/>
        <color theme="1"/>
        <rFont val="돋움"/>
        <family val="3"/>
        <charset val="129"/>
      </rPr>
      <t>작업불가</t>
    </r>
    <r>
      <rPr>
        <sz val="11"/>
        <color theme="1"/>
        <rFont val="Arial"/>
        <family val="2"/>
      </rPr>
      <t>)</t>
    </r>
    <phoneticPr fontId="2" type="noConversion"/>
  </si>
  <si>
    <t>PWA1480 VS</t>
    <phoneticPr fontId="2" type="noConversion"/>
  </si>
  <si>
    <r>
      <rPr>
        <sz val="11"/>
        <color theme="1"/>
        <rFont val="맑은 고딕"/>
        <family val="3"/>
        <charset val="129"/>
      </rPr>
      <t>성보출하</t>
    </r>
    <r>
      <rPr>
        <sz val="11"/>
        <color theme="1"/>
        <rFont val="돋움"/>
        <family val="2"/>
        <charset val="129"/>
      </rPr>
      <t xml:space="preserve"> / 가스켓제거</t>
    </r>
    <phoneticPr fontId="2" type="noConversion"/>
  </si>
  <si>
    <t>Rene 142 VS</t>
    <phoneticPr fontId="2" type="noConversion"/>
  </si>
  <si>
    <t>Rene 77 VS</t>
    <phoneticPr fontId="2" type="noConversion"/>
  </si>
  <si>
    <r>
      <rPr>
        <sz val="11"/>
        <color theme="1"/>
        <rFont val="맑은 고딕"/>
        <family val="3"/>
        <charset val="129"/>
      </rPr>
      <t>성보출하</t>
    </r>
    <r>
      <rPr>
        <sz val="11"/>
        <color theme="1"/>
        <rFont val="돋움"/>
        <family val="2"/>
        <charset val="129"/>
      </rPr>
      <t xml:space="preserve"> /</t>
    </r>
    <r>
      <rPr>
        <sz val="11"/>
        <color theme="1"/>
        <rFont val="Arial"/>
        <family val="2"/>
      </rPr>
      <t xml:space="preserve"> H-X </t>
    </r>
    <r>
      <rPr>
        <sz val="11"/>
        <color theme="1"/>
        <rFont val="돋움"/>
        <family val="2"/>
        <charset val="129"/>
      </rPr>
      <t>절단</t>
    </r>
    <phoneticPr fontId="2" type="noConversion"/>
  </si>
  <si>
    <t>Rene 80 VS</t>
    <phoneticPr fontId="2" type="noConversion"/>
  </si>
  <si>
    <t>Rene N5 VS</t>
    <phoneticPr fontId="2" type="noConversion"/>
  </si>
  <si>
    <t>Ni 55 Cr 10 Co 5 W 4 Mo 4 Nb 3 Ti 2 Re 1 Ta 1 Powder</t>
    <phoneticPr fontId="2" type="noConversion"/>
  </si>
  <si>
    <t>601 Solid</t>
    <phoneticPr fontId="2" type="noConversion"/>
  </si>
  <si>
    <t>Ni 35 Cr 20 Mo 5 Solid</t>
    <phoneticPr fontId="2" type="noConversion"/>
  </si>
  <si>
    <r>
      <t xml:space="preserve">C22+304+316(7:2:1) </t>
    </r>
    <r>
      <rPr>
        <sz val="11"/>
        <color theme="1"/>
        <rFont val="돋움"/>
        <family val="3"/>
        <charset val="129"/>
      </rPr>
      <t>작업불가</t>
    </r>
  </si>
  <si>
    <r>
      <t xml:space="preserve">C22+304(4:6) </t>
    </r>
    <r>
      <rPr>
        <sz val="11"/>
        <color theme="1"/>
        <rFont val="돋움"/>
        <family val="3"/>
        <charset val="129"/>
      </rPr>
      <t>작업불가</t>
    </r>
  </si>
  <si>
    <r>
      <t xml:space="preserve">C22+316(3:7) </t>
    </r>
    <r>
      <rPr>
        <sz val="11"/>
        <color theme="1"/>
        <rFont val="돋움"/>
        <family val="3"/>
        <charset val="129"/>
      </rPr>
      <t>작업불가</t>
    </r>
  </si>
  <si>
    <t>Ni 55 Cr 25 Mo 5 W 2 Solid</t>
    <phoneticPr fontId="2" type="noConversion"/>
  </si>
  <si>
    <t>잉고트</t>
    <phoneticPr fontId="2" type="noConversion"/>
  </si>
  <si>
    <t>Ni 20 Solid</t>
    <phoneticPr fontId="2" type="noConversion"/>
  </si>
  <si>
    <r>
      <t xml:space="preserve">C22+304(3:7) </t>
    </r>
    <r>
      <rPr>
        <sz val="11"/>
        <color theme="1"/>
        <rFont val="돋움"/>
        <family val="3"/>
        <charset val="129"/>
      </rPr>
      <t>작업불가</t>
    </r>
  </si>
  <si>
    <r>
      <t xml:space="preserve">C22+316(2:8) </t>
    </r>
    <r>
      <rPr>
        <sz val="11"/>
        <color theme="1"/>
        <rFont val="돋움"/>
        <family val="3"/>
        <charset val="129"/>
      </rPr>
      <t>작업불가</t>
    </r>
  </si>
  <si>
    <t>304 Solid</t>
    <phoneticPr fontId="2" type="noConversion"/>
  </si>
  <si>
    <t>316 Solid</t>
    <phoneticPr fontId="2" type="noConversion"/>
  </si>
  <si>
    <t>파쇄</t>
    <phoneticPr fontId="2" type="noConversion"/>
  </si>
  <si>
    <r>
      <t>Ni</t>
    </r>
    <r>
      <rPr>
        <sz val="12"/>
        <color theme="1"/>
        <rFont val="돋움"/>
        <family val="2"/>
        <charset val="129"/>
      </rPr>
      <t xml:space="preserve"> </t>
    </r>
    <r>
      <rPr>
        <sz val="12"/>
        <color theme="1"/>
        <rFont val="Arial"/>
        <family val="2"/>
      </rPr>
      <t>55 Cr 15 Mo 15 W 5 Solid</t>
    </r>
    <phoneticPr fontId="2" type="noConversion"/>
  </si>
  <si>
    <r>
      <rPr>
        <sz val="11"/>
        <color theme="1"/>
        <rFont val="돋움"/>
        <family val="3"/>
        <charset val="129"/>
      </rPr>
      <t>벨브</t>
    </r>
    <r>
      <rPr>
        <sz val="11"/>
        <color theme="1"/>
        <rFont val="Arial"/>
        <family val="2"/>
      </rPr>
      <t>+</t>
    </r>
    <r>
      <rPr>
        <sz val="11"/>
        <color theme="1"/>
        <rFont val="돋움"/>
        <family val="3"/>
        <charset val="129"/>
      </rPr>
      <t>플렌지</t>
    </r>
    <phoneticPr fontId="2" type="noConversion"/>
  </si>
  <si>
    <t>실컷팅</t>
    <phoneticPr fontId="2" type="noConversion"/>
  </si>
  <si>
    <t>Waspaloy Solid (AS)</t>
    <phoneticPr fontId="2" type="noConversion"/>
  </si>
  <si>
    <r>
      <t xml:space="preserve">LC / </t>
    </r>
    <r>
      <rPr>
        <sz val="11"/>
        <color theme="1"/>
        <rFont val="맑은 고딕"/>
        <family val="3"/>
        <charset val="129"/>
      </rPr>
      <t>성보출하</t>
    </r>
    <r>
      <rPr>
        <sz val="11"/>
        <color theme="1"/>
        <rFont val="돋움"/>
        <family val="2"/>
        <charset val="129"/>
      </rPr>
      <t xml:space="preserve"> / CO 이강종 3% 제거</t>
    </r>
    <phoneticPr fontId="2" type="noConversion"/>
  </si>
  <si>
    <t>IN100 VS</t>
    <phoneticPr fontId="2" type="noConversion"/>
  </si>
  <si>
    <r>
      <t>성보출하</t>
    </r>
    <r>
      <rPr>
        <sz val="11"/>
        <color theme="1"/>
        <rFont val="Arial"/>
        <family val="2"/>
      </rPr>
      <t xml:space="preserve"> / H-X</t>
    </r>
    <r>
      <rPr>
        <sz val="11"/>
        <color theme="1"/>
        <rFont val="돋움"/>
        <family val="3"/>
        <charset val="129"/>
      </rPr>
      <t>절단</t>
    </r>
  </si>
  <si>
    <t>N4M2 VS</t>
    <phoneticPr fontId="2" type="noConversion"/>
  </si>
  <si>
    <t>Ni 70 Cr 10 Co 3 Ta 8 Re 7 Solid</t>
    <phoneticPr fontId="2" type="noConversion"/>
  </si>
  <si>
    <t>PT BLADE</t>
    <phoneticPr fontId="2" type="noConversion"/>
  </si>
  <si>
    <r>
      <rPr>
        <sz val="11"/>
        <color theme="1"/>
        <rFont val="맑은 고딕"/>
        <family val="2"/>
        <charset val="129"/>
      </rPr>
      <t>블레이드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절단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조각</t>
    </r>
    <phoneticPr fontId="2" type="noConversion"/>
  </si>
  <si>
    <r>
      <t>성보출하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돋움"/>
        <family val="3"/>
        <charset val="129"/>
      </rPr>
      <t>가스켓제거</t>
    </r>
  </si>
  <si>
    <t>Rene 125 VS</t>
    <phoneticPr fontId="2" type="noConversion"/>
  </si>
  <si>
    <t>성보출하 / H-X 절단</t>
  </si>
  <si>
    <t>성보출하 / H-X 절단</t>
    <phoneticPr fontId="2" type="noConversion"/>
  </si>
  <si>
    <t>Ni 55 Cr 10 Co 10 Mo 5 Solid</t>
    <phoneticPr fontId="2" type="noConversion"/>
  </si>
  <si>
    <r>
      <t>블레이드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절단조각</t>
    </r>
  </si>
  <si>
    <r>
      <t>성보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출하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돋움"/>
        <family val="3"/>
        <charset val="129"/>
      </rPr>
      <t>가스켓제거</t>
    </r>
  </si>
  <si>
    <t>PWA1484 VS</t>
    <phoneticPr fontId="2" type="noConversion"/>
  </si>
  <si>
    <r>
      <t xml:space="preserve">R-77+R-80+R-41 </t>
    </r>
    <r>
      <rPr>
        <sz val="10"/>
        <color theme="1"/>
        <rFont val="돋움"/>
        <family val="3"/>
        <charset val="129"/>
      </rPr>
      <t>미니사이즈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MIX(</t>
    </r>
    <r>
      <rPr>
        <sz val="10"/>
        <color theme="1"/>
        <rFont val="돋움"/>
        <family val="3"/>
        <charset val="129"/>
      </rPr>
      <t>선별불가</t>
    </r>
    <r>
      <rPr>
        <sz val="10"/>
        <color theme="1"/>
        <rFont val="Arial"/>
        <family val="2"/>
      </rPr>
      <t>)</t>
    </r>
  </si>
  <si>
    <t>Rene 41 VS</t>
    <phoneticPr fontId="2" type="noConversion"/>
  </si>
  <si>
    <r>
      <t>성보출하</t>
    </r>
    <r>
      <rPr>
        <sz val="11"/>
        <color theme="1"/>
        <rFont val="Arial"/>
        <family val="2"/>
      </rPr>
      <t xml:space="preserve"> / H-X 10% </t>
    </r>
    <r>
      <rPr>
        <sz val="11"/>
        <color theme="1"/>
        <rFont val="돋움"/>
        <family val="3"/>
        <charset val="129"/>
      </rPr>
      <t>제거</t>
    </r>
  </si>
  <si>
    <r>
      <t>성보출하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돋움"/>
        <family val="3"/>
        <charset val="129"/>
      </rPr>
      <t>용접</t>
    </r>
    <r>
      <rPr>
        <sz val="11"/>
        <color theme="1"/>
        <rFont val="Arial"/>
        <family val="2"/>
      </rPr>
      <t xml:space="preserve"> 10% </t>
    </r>
    <r>
      <rPr>
        <sz val="11"/>
        <color theme="1"/>
        <rFont val="돋움"/>
        <family val="3"/>
        <charset val="129"/>
      </rPr>
      <t>제거</t>
    </r>
  </si>
  <si>
    <t>SKD61+W.C</t>
    <phoneticPr fontId="2" type="noConversion"/>
  </si>
  <si>
    <t>9:1</t>
    <phoneticPr fontId="2" type="noConversion"/>
  </si>
  <si>
    <t>small size, ATT</t>
    <phoneticPr fontId="2" type="noConversion"/>
  </si>
  <si>
    <t>Fe clad</t>
    <phoneticPr fontId="2" type="noConversion"/>
  </si>
  <si>
    <t>small size</t>
    <phoneticPr fontId="2" type="noConversion"/>
  </si>
  <si>
    <t>C22+304+316(7:2:1)</t>
    <phoneticPr fontId="2" type="noConversion"/>
  </si>
  <si>
    <t>C22+304(4:6)</t>
    <phoneticPr fontId="2" type="noConversion"/>
  </si>
  <si>
    <t>C22+316(3:7)</t>
    <phoneticPr fontId="2" type="noConversion"/>
  </si>
  <si>
    <t>C22+304(3:7)</t>
    <phoneticPr fontId="2" type="noConversion"/>
  </si>
  <si>
    <t>C22+316(2:8)</t>
    <phoneticPr fontId="2" type="noConversion"/>
  </si>
  <si>
    <t>ATT</t>
    <phoneticPr fontId="2" type="noConversion"/>
  </si>
  <si>
    <t>WAS NEEDLE ( ALL )</t>
    <phoneticPr fontId="2" type="noConversion"/>
  </si>
  <si>
    <t>INGOT</t>
    <phoneticPr fontId="2" type="noConversion"/>
  </si>
  <si>
    <t>R-77+R-80+R-41 mini size MIX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</si>
</sst>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dd\/mm\/yyyy"/>
    <numFmt numFmtId="178" formatCode="#,##0_ "/>
    <numFmt numFmtId="179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돋움체"/>
      <family val="3"/>
      <charset val="129"/>
    </font>
    <font>
      <sz val="9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b/>
      <sz val="23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2"/>
      <color theme="1"/>
      <name val="돋움"/>
      <family val="3"/>
      <charset val="129"/>
    </font>
    <font>
      <sz val="12"/>
      <color theme="1"/>
      <name val="Arial"/>
      <family val="3"/>
      <charset val="129"/>
    </font>
    <font>
      <sz val="11"/>
      <color theme="1"/>
      <name val="Arial"/>
      <family val="3"/>
      <charset val="129"/>
    </font>
    <font>
      <sz val="12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sz val="7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vertical="center" wrapText="1"/>
    </xf>
    <xf numFmtId="41" fontId="5" fillId="0" borderId="0" xfId="1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 indent="2"/>
    </xf>
    <xf numFmtId="177" fontId="7" fillId="0" borderId="0" xfId="0" applyNumberFormat="1" applyFont="1" applyAlignment="1">
      <alignment horizontal="left" vertical="center"/>
    </xf>
    <xf numFmtId="176" fontId="5" fillId="0" borderId="14" xfId="1" applyNumberFormat="1" applyFont="1" applyBorder="1" applyAlignment="1">
      <alignment horizontal="center" vertical="center"/>
    </xf>
    <xf numFmtId="9" fontId="5" fillId="0" borderId="0" xfId="3" applyFont="1">
      <alignment vertical="center"/>
    </xf>
    <xf numFmtId="178" fontId="4" fillId="0" borderId="15" xfId="2" applyNumberFormat="1" applyFont="1" applyBorder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8" fontId="4" fillId="0" borderId="22" xfId="2" applyNumberFormat="1" applyFont="1" applyBorder="1" applyAlignment="1">
      <alignment vertical="center"/>
    </xf>
    <xf numFmtId="178" fontId="4" fillId="0" borderId="23" xfId="2" applyNumberFormat="1" applyFont="1" applyBorder="1" applyAlignment="1">
      <alignment vertical="center"/>
    </xf>
    <xf numFmtId="41" fontId="8" fillId="0" borderId="1" xfId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179" fontId="8" fillId="0" borderId="18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/>
    </xf>
    <xf numFmtId="179" fontId="8" fillId="0" borderId="1" xfId="1" applyNumberFormat="1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 wrapText="1"/>
    </xf>
    <xf numFmtId="41" fontId="8" fillId="0" borderId="14" xfId="1" applyFont="1" applyBorder="1" applyAlignment="1">
      <alignment horizontal="center" vertical="center"/>
    </xf>
    <xf numFmtId="176" fontId="8" fillId="0" borderId="14" xfId="1" applyNumberFormat="1" applyFont="1" applyBorder="1" applyAlignment="1">
      <alignment horizontal="center" vertical="center"/>
    </xf>
    <xf numFmtId="43" fontId="8" fillId="0" borderId="19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41" fontId="8" fillId="0" borderId="14" xfId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/>
    </xf>
    <xf numFmtId="0" fontId="12" fillId="0" borderId="0" xfId="0" applyFont="1">
      <alignment vertical="center"/>
    </xf>
    <xf numFmtId="41" fontId="5" fillId="0" borderId="0" xfId="0" applyNumberFormat="1" applyFont="1" applyAlignment="1">
      <alignment vertical="center" wrapText="1"/>
    </xf>
    <xf numFmtId="41" fontId="5" fillId="0" borderId="0" xfId="0" applyNumberFormat="1" applyFont="1">
      <alignment vertical="center"/>
    </xf>
    <xf numFmtId="9" fontId="5" fillId="0" borderId="0" xfId="3" applyFont="1" applyFill="1">
      <alignment vertical="center"/>
    </xf>
    <xf numFmtId="0" fontId="13" fillId="0" borderId="0" xfId="0" applyFont="1" applyAlignment="1">
      <alignment vertical="center" wrapText="1"/>
    </xf>
    <xf numFmtId="179" fontId="5" fillId="0" borderId="1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179" fontId="8" fillId="0" borderId="1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9" fontId="5" fillId="0" borderId="0" xfId="3" applyFont="1" applyAlignment="1">
      <alignment horizontal="center" vertical="center"/>
    </xf>
    <xf numFmtId="178" fontId="4" fillId="0" borderId="24" xfId="2" applyNumberFormat="1" applyFont="1" applyBorder="1" applyAlignment="1">
      <alignment horizontal="center" vertical="center"/>
    </xf>
    <xf numFmtId="179" fontId="14" fillId="0" borderId="1" xfId="1" applyNumberFormat="1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76" fontId="8" fillId="0" borderId="1" xfId="1" applyNumberFormat="1" applyFont="1" applyFill="1" applyBorder="1" applyAlignment="1">
      <alignment horizontal="center" vertical="center"/>
    </xf>
    <xf numFmtId="179" fontId="13" fillId="0" borderId="1" xfId="1" applyNumberFormat="1" applyFont="1" applyBorder="1" applyAlignment="1">
      <alignment horizontal="center" vertical="center"/>
    </xf>
    <xf numFmtId="179" fontId="13" fillId="0" borderId="1" xfId="1" applyNumberFormat="1" applyFont="1" applyBorder="1" applyAlignment="1">
      <alignment horizontal="left" vertical="center" wrapText="1"/>
    </xf>
    <xf numFmtId="179" fontId="18" fillId="0" borderId="1" xfId="1" applyNumberFormat="1" applyFont="1" applyBorder="1" applyAlignment="1">
      <alignment horizontal="center" vertical="center" wrapText="1"/>
    </xf>
    <xf numFmtId="179" fontId="19" fillId="0" borderId="1" xfId="1" applyNumberFormat="1" applyFont="1" applyBorder="1" applyAlignment="1">
      <alignment horizontal="center" vertical="center"/>
    </xf>
    <xf numFmtId="179" fontId="19" fillId="0" borderId="1" xfId="1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9" fontId="16" fillId="0" borderId="1" xfId="1" applyNumberFormat="1" applyFont="1" applyBorder="1" applyAlignment="1">
      <alignment horizontal="center" vertical="center"/>
    </xf>
    <xf numFmtId="179" fontId="16" fillId="0" borderId="1" xfId="1" applyNumberFormat="1" applyFont="1" applyBorder="1" applyAlignment="1">
      <alignment horizontal="center" vertical="center" wrapText="1"/>
    </xf>
    <xf numFmtId="179" fontId="15" fillId="0" borderId="1" xfId="1" applyNumberFormat="1" applyFont="1" applyBorder="1" applyAlignment="1">
      <alignment horizontal="center" vertical="center"/>
    </xf>
    <xf numFmtId="179" fontId="15" fillId="0" borderId="1" xfId="1" applyNumberFormat="1" applyFont="1" applyBorder="1" applyAlignment="1">
      <alignment horizontal="center" vertical="center" wrapText="1"/>
    </xf>
    <xf numFmtId="179" fontId="14" fillId="0" borderId="1" xfId="1" applyNumberFormat="1" applyFont="1" applyBorder="1" applyAlignment="1">
      <alignment horizontal="center" vertical="center" wrapText="1"/>
    </xf>
    <xf numFmtId="179" fontId="23" fillId="0" borderId="1" xfId="1" applyNumberFormat="1" applyFont="1" applyBorder="1" applyAlignment="1">
      <alignment horizontal="center" vertical="center" wrapText="1"/>
    </xf>
    <xf numFmtId="179" fontId="5" fillId="0" borderId="1" xfId="1" quotePrefix="1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9" fontId="5" fillId="0" borderId="1" xfId="1" applyNumberFormat="1" applyFont="1" applyBorder="1" applyAlignment="1">
      <alignment horizontal="left" vertical="center"/>
    </xf>
    <xf numFmtId="179" fontId="5" fillId="0" borderId="1" xfId="1" applyNumberFormat="1" applyFont="1" applyBorder="1" applyAlignment="1">
      <alignment horizontal="left" vertical="center" wrapText="1"/>
    </xf>
    <xf numFmtId="179" fontId="23" fillId="0" borderId="1" xfId="1" applyNumberFormat="1" applyFont="1" applyBorder="1" applyAlignment="1">
      <alignment horizontal="left" vertical="center" wrapText="1"/>
    </xf>
    <xf numFmtId="179" fontId="5" fillId="0" borderId="1" xfId="1" quotePrefix="1" applyNumberFormat="1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indent="4"/>
    </xf>
    <xf numFmtId="0" fontId="10" fillId="0" borderId="11" xfId="0" applyFont="1" applyBorder="1" applyAlignment="1">
      <alignment horizontal="left" vertical="center" indent="4"/>
    </xf>
    <xf numFmtId="176" fontId="10" fillId="0" borderId="10" xfId="1" applyNumberFormat="1" applyFont="1" applyBorder="1" applyAlignment="1">
      <alignment horizontal="center" vertical="center"/>
    </xf>
    <xf numFmtId="176" fontId="10" fillId="0" borderId="12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 indent="4"/>
    </xf>
    <xf numFmtId="0" fontId="11" fillId="0" borderId="13" xfId="0" applyFont="1" applyBorder="1" applyAlignment="1">
      <alignment horizontal="left" vertical="center" indent="4"/>
    </xf>
    <xf numFmtId="176" fontId="11" fillId="0" borderId="13" xfId="0" applyNumberFormat="1" applyFont="1" applyBorder="1" applyAlignment="1">
      <alignment horizontal="center" vertical="center"/>
    </xf>
    <xf numFmtId="176" fontId="11" fillId="0" borderId="17" xfId="0" applyNumberFormat="1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3"/>
    </xf>
    <xf numFmtId="0" fontId="9" fillId="0" borderId="3" xfId="0" applyFont="1" applyBorder="1" applyAlignment="1">
      <alignment horizontal="left" vertical="center" indent="3"/>
    </xf>
    <xf numFmtId="0" fontId="9" fillId="0" borderId="4" xfId="0" applyFont="1" applyBorder="1" applyAlignment="1">
      <alignment horizontal="left" vertical="center" indent="3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indent="4"/>
    </xf>
    <xf numFmtId="0" fontId="10" fillId="0" borderId="6" xfId="0" applyFont="1" applyBorder="1" applyAlignment="1">
      <alignment horizontal="left" vertical="center" indent="4"/>
    </xf>
    <xf numFmtId="176" fontId="10" fillId="0" borderId="5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</cellXfs>
  <cellStyles count="4">
    <cellStyle name="백분율" xfId="3" builtinId="5"/>
    <cellStyle name="쉼표 [0]" xfId="1" builtinId="6"/>
    <cellStyle name="표준" xfId="0" builtinId="0"/>
    <cellStyle name="표준_9-17 AIR DOC." xfId="2" xr:uid="{2792D85A-25F7-46D9-9435-C55564B37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180975</xdr:rowOff>
    </xdr:from>
    <xdr:to>
      <xdr:col>0</xdr:col>
      <xdr:colOff>623013</xdr:colOff>
      <xdr:row>1</xdr:row>
      <xdr:rowOff>819151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B25C59D-2F4F-4E29-AC37-D8DF93DAF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61950"/>
          <a:ext cx="518238" cy="638176"/>
        </a:xfrm>
        <a:prstGeom prst="rect">
          <a:avLst/>
        </a:prstGeom>
      </xdr:spPr>
    </xdr:pic>
    <xdr:clientData/>
  </xdr:twoCellAnchor>
  <xdr:twoCellAnchor editAs="oneCell">
    <xdr:from>
      <xdr:col>7</xdr:col>
      <xdr:colOff>179293</xdr:colOff>
      <xdr:row>114</xdr:row>
      <xdr:rowOff>78441</xdr:rowOff>
    </xdr:from>
    <xdr:to>
      <xdr:col>8</xdr:col>
      <xdr:colOff>1330389</xdr:colOff>
      <xdr:row>114</xdr:row>
      <xdr:rowOff>1108754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645BAA-13AC-4DAF-AD7D-89B25F63B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2743" y="31358541"/>
          <a:ext cx="2379821" cy="1030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180975</xdr:rowOff>
    </xdr:from>
    <xdr:to>
      <xdr:col>0</xdr:col>
      <xdr:colOff>623013</xdr:colOff>
      <xdr:row>1</xdr:row>
      <xdr:rowOff>819151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F127235-1F09-41DE-BBFE-7B824556E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61950"/>
          <a:ext cx="518238" cy="638176"/>
        </a:xfrm>
        <a:prstGeom prst="rect">
          <a:avLst/>
        </a:prstGeom>
      </xdr:spPr>
    </xdr:pic>
    <xdr:clientData/>
  </xdr:twoCellAnchor>
  <xdr:twoCellAnchor editAs="oneCell">
    <xdr:from>
      <xdr:col>7</xdr:col>
      <xdr:colOff>179293</xdr:colOff>
      <xdr:row>83</xdr:row>
      <xdr:rowOff>78441</xdr:rowOff>
    </xdr:from>
    <xdr:to>
      <xdr:col>8</xdr:col>
      <xdr:colOff>1330389</xdr:colOff>
      <xdr:row>83</xdr:row>
      <xdr:rowOff>1108754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AEFF8F-F02F-41A5-AB9B-B12AEC13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2743" y="48313041"/>
          <a:ext cx="2379821" cy="1030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8AF-556C-420D-811C-E127669374FA}">
  <sheetPr>
    <pageSetUpPr fitToPage="1"/>
  </sheetPr>
  <dimension ref="A2:K156"/>
  <sheetViews>
    <sheetView topLeftCell="A64" zoomScale="85" zoomScaleNormal="85" workbookViewId="0">
      <selection activeCell="F75" sqref="F75:F76"/>
    </sheetView>
  </sheetViews>
  <sheetFormatPr defaultColWidth="9" defaultRowHeight="14" x14ac:dyDescent="0.45"/>
  <cols>
    <col min="1" max="5" width="16.08203125" style="1" customWidth="1"/>
    <col min="6" max="6" width="15.5" style="1" customWidth="1"/>
    <col min="7" max="8" width="16.08203125" style="1" customWidth="1"/>
    <col min="9" max="9" width="19.58203125" style="2" customWidth="1"/>
    <col min="10" max="10" width="7.58203125" style="1" bestFit="1" customWidth="1"/>
    <col min="11" max="11" width="11.58203125" style="1" bestFit="1" customWidth="1"/>
    <col min="12" max="16384" width="9" style="1"/>
  </cols>
  <sheetData>
    <row r="2" spans="1:10" s="33" customFormat="1" ht="80.150000000000006" customHeight="1" x14ac:dyDescent="0.45">
      <c r="A2" s="77" t="s">
        <v>11</v>
      </c>
      <c r="B2" s="78"/>
      <c r="C2" s="78"/>
      <c r="D2" s="79"/>
      <c r="E2" s="80" t="s">
        <v>18</v>
      </c>
      <c r="F2" s="81"/>
      <c r="G2" s="81"/>
      <c r="H2" s="81"/>
      <c r="I2" s="81"/>
    </row>
    <row r="3" spans="1:10" ht="16.5" customHeight="1" x14ac:dyDescent="0.45">
      <c r="A3" s="2"/>
      <c r="B3" s="2"/>
      <c r="C3" s="2"/>
      <c r="D3" s="2"/>
      <c r="E3" s="2"/>
      <c r="F3" s="2"/>
      <c r="G3" s="2"/>
      <c r="H3" s="2"/>
    </row>
    <row r="5" spans="1:10" s="9" customFormat="1" ht="25" customHeight="1" x14ac:dyDescent="0.45">
      <c r="A5" s="10" t="s">
        <v>0</v>
      </c>
      <c r="B5" s="8" t="s">
        <v>21</v>
      </c>
      <c r="C5" s="8"/>
      <c r="D5" s="8"/>
      <c r="E5" s="8"/>
      <c r="F5" s="8" t="s">
        <v>1</v>
      </c>
      <c r="G5" s="11">
        <v>46157</v>
      </c>
      <c r="I5" s="41"/>
    </row>
    <row r="6" spans="1:10" s="9" customFormat="1" ht="25" customHeight="1" x14ac:dyDescent="0.45">
      <c r="A6" s="8"/>
      <c r="B6" s="8" t="s">
        <v>15</v>
      </c>
      <c r="C6" s="8"/>
      <c r="D6" s="8"/>
      <c r="E6" s="8"/>
      <c r="F6" s="8" t="s">
        <v>13</v>
      </c>
      <c r="G6" s="8" t="s">
        <v>28</v>
      </c>
      <c r="I6" s="41"/>
    </row>
    <row r="7" spans="1:10" s="9" customFormat="1" ht="25" customHeight="1" x14ac:dyDescent="0.45">
      <c r="A7" s="8"/>
      <c r="B7" s="8" t="s">
        <v>16</v>
      </c>
      <c r="C7" s="8"/>
      <c r="D7" s="8"/>
      <c r="E7" s="8"/>
      <c r="F7" s="8" t="s">
        <v>2</v>
      </c>
      <c r="G7" s="8" t="s">
        <v>29</v>
      </c>
      <c r="I7" s="41"/>
    </row>
    <row r="8" spans="1:10" ht="20.149999999999999" customHeight="1" x14ac:dyDescent="0.45">
      <c r="B8" s="1" t="s">
        <v>17</v>
      </c>
      <c r="F8" s="3"/>
    </row>
    <row r="9" spans="1:10" ht="20.149999999999999" customHeight="1" x14ac:dyDescent="0.45">
      <c r="F9" s="3"/>
    </row>
    <row r="10" spans="1:10" ht="14.5" thickBot="1" x14ac:dyDescent="0.5"/>
    <row r="11" spans="1:10" ht="35.15" customHeight="1" thickTop="1" x14ac:dyDescent="0.45">
      <c r="A11" s="82" t="s">
        <v>6</v>
      </c>
      <c r="B11" s="82"/>
      <c r="C11" s="82"/>
      <c r="D11" s="83"/>
      <c r="E11" s="84" t="s">
        <v>5</v>
      </c>
      <c r="F11" s="82"/>
      <c r="G11" s="82"/>
      <c r="H11" s="82"/>
      <c r="I11" s="82"/>
    </row>
    <row r="12" spans="1:10" s="4" customFormat="1" ht="35.15" customHeight="1" x14ac:dyDescent="0.45">
      <c r="A12" s="21" t="s">
        <v>7</v>
      </c>
      <c r="B12" s="21" t="s">
        <v>8</v>
      </c>
      <c r="C12" s="21" t="s">
        <v>20</v>
      </c>
      <c r="D12" s="30" t="s">
        <v>19</v>
      </c>
      <c r="E12" s="31" t="s">
        <v>7</v>
      </c>
      <c r="F12" s="21" t="s">
        <v>8</v>
      </c>
      <c r="G12" s="21" t="s">
        <v>20</v>
      </c>
      <c r="H12" s="21" t="s">
        <v>19</v>
      </c>
      <c r="I12" s="21" t="s">
        <v>22</v>
      </c>
    </row>
    <row r="13" spans="1:10" s="4" customFormat="1" ht="34.5" customHeight="1" x14ac:dyDescent="0.45">
      <c r="A13" s="21" t="s">
        <v>30</v>
      </c>
      <c r="B13" s="18">
        <v>10934</v>
      </c>
      <c r="C13" s="19">
        <v>12</v>
      </c>
      <c r="D13" s="20">
        <f t="shared" ref="D13:D107" si="0">B13*C13</f>
        <v>131208</v>
      </c>
      <c r="E13" s="21" t="s">
        <v>30</v>
      </c>
      <c r="F13" s="22">
        <v>10472</v>
      </c>
      <c r="G13" s="49"/>
      <c r="H13" s="23">
        <f t="shared" ref="H13:H107" si="1">F13*G13</f>
        <v>0</v>
      </c>
      <c r="I13" s="38"/>
      <c r="J13" s="34"/>
    </row>
    <row r="14" spans="1:10" s="4" customFormat="1" ht="34.5" customHeight="1" x14ac:dyDescent="0.45">
      <c r="A14" s="21"/>
      <c r="B14" s="18"/>
      <c r="C14" s="19"/>
      <c r="D14" s="20"/>
      <c r="E14" s="21" t="s">
        <v>44</v>
      </c>
      <c r="F14" s="22">
        <v>107</v>
      </c>
      <c r="G14" s="49"/>
      <c r="H14" s="23">
        <f t="shared" si="1"/>
        <v>0</v>
      </c>
      <c r="I14" s="38" t="s">
        <v>45</v>
      </c>
      <c r="J14" s="34"/>
    </row>
    <row r="15" spans="1:10" s="4" customFormat="1" ht="34.5" customHeight="1" x14ac:dyDescent="0.45">
      <c r="A15" s="21"/>
      <c r="B15" s="18"/>
      <c r="C15" s="19"/>
      <c r="D15" s="20"/>
      <c r="E15" s="21" t="s">
        <v>46</v>
      </c>
      <c r="F15" s="22">
        <v>34</v>
      </c>
      <c r="G15" s="49"/>
      <c r="H15" s="23">
        <f t="shared" si="1"/>
        <v>0</v>
      </c>
      <c r="I15" s="38"/>
      <c r="J15" s="34"/>
    </row>
    <row r="16" spans="1:10" s="4" customFormat="1" ht="34.5" customHeight="1" x14ac:dyDescent="0.45">
      <c r="A16" s="21"/>
      <c r="B16" s="18"/>
      <c r="C16" s="19"/>
      <c r="D16" s="20"/>
      <c r="E16" s="21" t="s">
        <v>47</v>
      </c>
      <c r="F16" s="22">
        <v>12</v>
      </c>
      <c r="G16" s="49"/>
      <c r="H16" s="23">
        <f t="shared" si="1"/>
        <v>0</v>
      </c>
      <c r="I16" s="38"/>
      <c r="J16" s="34"/>
    </row>
    <row r="17" spans="1:11" s="4" customFormat="1" ht="34.5" customHeight="1" x14ac:dyDescent="0.45">
      <c r="A17" s="21"/>
      <c r="B17" s="18"/>
      <c r="C17" s="19"/>
      <c r="D17" s="20"/>
      <c r="E17" s="21" t="s">
        <v>48</v>
      </c>
      <c r="F17" s="22">
        <v>29</v>
      </c>
      <c r="G17" s="49"/>
      <c r="H17" s="23">
        <f t="shared" si="1"/>
        <v>0</v>
      </c>
      <c r="I17" s="38"/>
      <c r="J17" s="34"/>
    </row>
    <row r="18" spans="1:11" s="4" customFormat="1" ht="34.5" customHeight="1" x14ac:dyDescent="0.45">
      <c r="A18" s="21"/>
      <c r="B18" s="18"/>
      <c r="C18" s="19"/>
      <c r="D18" s="20"/>
      <c r="E18" s="21" t="s">
        <v>49</v>
      </c>
      <c r="F18" s="22">
        <v>2</v>
      </c>
      <c r="G18" s="49"/>
      <c r="H18" s="23">
        <f t="shared" si="1"/>
        <v>0</v>
      </c>
      <c r="I18" s="38"/>
      <c r="J18" s="34">
        <f>SUM(F13:F18)-B13</f>
        <v>-278</v>
      </c>
    </row>
    <row r="19" spans="1:11" s="4" customFormat="1" ht="34.5" customHeight="1" x14ac:dyDescent="0.45">
      <c r="A19" s="21" t="s">
        <v>32</v>
      </c>
      <c r="B19" s="18">
        <v>1551</v>
      </c>
      <c r="C19" s="19">
        <v>12.6</v>
      </c>
      <c r="D19" s="20">
        <f t="shared" si="0"/>
        <v>19542.599999999999</v>
      </c>
      <c r="E19" s="21" t="s">
        <v>32</v>
      </c>
      <c r="F19" s="22">
        <v>367</v>
      </c>
      <c r="G19" s="49"/>
      <c r="H19" s="23">
        <f t="shared" si="1"/>
        <v>0</v>
      </c>
      <c r="I19" s="44"/>
      <c r="J19" s="34"/>
      <c r="K19" s="37"/>
    </row>
    <row r="20" spans="1:11" s="4" customFormat="1" ht="34.5" customHeight="1" x14ac:dyDescent="0.45">
      <c r="A20" s="21"/>
      <c r="B20" s="18"/>
      <c r="C20" s="19"/>
      <c r="D20" s="20"/>
      <c r="E20" s="21" t="s">
        <v>31</v>
      </c>
      <c r="F20" s="22">
        <v>530</v>
      </c>
      <c r="G20" s="49"/>
      <c r="H20" s="23">
        <f t="shared" si="1"/>
        <v>0</v>
      </c>
      <c r="I20" s="50" t="s">
        <v>53</v>
      </c>
      <c r="J20" s="34"/>
      <c r="K20" s="37"/>
    </row>
    <row r="21" spans="1:11" s="4" customFormat="1" ht="34.5" customHeight="1" x14ac:dyDescent="0.45">
      <c r="A21" s="21"/>
      <c r="B21" s="18"/>
      <c r="C21" s="19"/>
      <c r="D21" s="20"/>
      <c r="E21" s="21" t="s">
        <v>31</v>
      </c>
      <c r="F21" s="22">
        <v>334</v>
      </c>
      <c r="G21" s="49"/>
      <c r="H21" s="23">
        <f t="shared" si="1"/>
        <v>0</v>
      </c>
      <c r="I21" s="50" t="s">
        <v>55</v>
      </c>
      <c r="J21" s="34"/>
      <c r="K21" s="37"/>
    </row>
    <row r="22" spans="1:11" s="4" customFormat="1" ht="34.5" customHeight="1" x14ac:dyDescent="0.45">
      <c r="A22" s="21"/>
      <c r="B22" s="18"/>
      <c r="C22" s="19"/>
      <c r="D22" s="20"/>
      <c r="E22" s="21" t="s">
        <v>31</v>
      </c>
      <c r="F22" s="22">
        <v>103</v>
      </c>
      <c r="G22" s="49"/>
      <c r="H22" s="23">
        <f t="shared" si="1"/>
        <v>0</v>
      </c>
      <c r="I22" s="50" t="s">
        <v>56</v>
      </c>
      <c r="J22" s="34"/>
      <c r="K22" s="37"/>
    </row>
    <row r="23" spans="1:11" s="4" customFormat="1" ht="34.5" customHeight="1" x14ac:dyDescent="0.45">
      <c r="A23" s="21"/>
      <c r="B23" s="18"/>
      <c r="C23" s="19"/>
      <c r="D23" s="20"/>
      <c r="E23" s="21" t="s">
        <v>54</v>
      </c>
      <c r="F23" s="22">
        <v>52</v>
      </c>
      <c r="G23" s="49"/>
      <c r="H23" s="23">
        <f t="shared" si="1"/>
        <v>0</v>
      </c>
      <c r="I23" s="50" t="s">
        <v>53</v>
      </c>
      <c r="J23" s="34"/>
      <c r="K23" s="37"/>
    </row>
    <row r="24" spans="1:11" s="4" customFormat="1" ht="34.5" customHeight="1" x14ac:dyDescent="0.45">
      <c r="A24" s="21"/>
      <c r="B24" s="18"/>
      <c r="C24" s="19"/>
      <c r="D24" s="20"/>
      <c r="E24" s="21" t="s">
        <v>57</v>
      </c>
      <c r="F24" s="22">
        <v>1</v>
      </c>
      <c r="G24" s="49"/>
      <c r="H24" s="23">
        <f t="shared" si="1"/>
        <v>0</v>
      </c>
      <c r="I24" s="50"/>
      <c r="J24" s="34"/>
      <c r="K24" s="37"/>
    </row>
    <row r="25" spans="1:11" s="4" customFormat="1" ht="34.5" customHeight="1" x14ac:dyDescent="0.45">
      <c r="A25" s="21"/>
      <c r="B25" s="18"/>
      <c r="C25" s="19"/>
      <c r="D25" s="20"/>
      <c r="E25" s="21" t="s">
        <v>58</v>
      </c>
      <c r="F25" s="22">
        <v>38</v>
      </c>
      <c r="G25" s="49"/>
      <c r="H25" s="23">
        <f t="shared" si="1"/>
        <v>0</v>
      </c>
      <c r="I25" s="50" t="s">
        <v>59</v>
      </c>
      <c r="J25" s="34"/>
      <c r="K25" s="37"/>
    </row>
    <row r="26" spans="1:11" s="4" customFormat="1" ht="34.5" customHeight="1" x14ac:dyDescent="0.45">
      <c r="A26" s="21"/>
      <c r="B26" s="18"/>
      <c r="C26" s="19"/>
      <c r="D26" s="20"/>
      <c r="E26" s="21" t="s">
        <v>60</v>
      </c>
      <c r="F26" s="22">
        <v>60</v>
      </c>
      <c r="G26" s="49"/>
      <c r="H26" s="23">
        <f t="shared" si="1"/>
        <v>0</v>
      </c>
      <c r="I26" s="51" t="s">
        <v>61</v>
      </c>
      <c r="J26" s="34">
        <f>SUM(F19:F26)-B19</f>
        <v>-66</v>
      </c>
      <c r="K26" s="37"/>
    </row>
    <row r="27" spans="1:11" s="4" customFormat="1" ht="34.5" customHeight="1" x14ac:dyDescent="0.45">
      <c r="A27" s="21" t="s">
        <v>31</v>
      </c>
      <c r="B27" s="18">
        <v>2511</v>
      </c>
      <c r="C27" s="19">
        <v>8.8000000000000007</v>
      </c>
      <c r="D27" s="20">
        <f t="shared" si="0"/>
        <v>22096.800000000003</v>
      </c>
      <c r="E27" s="21" t="s">
        <v>31</v>
      </c>
      <c r="F27" s="22">
        <v>2393</v>
      </c>
      <c r="G27" s="49"/>
      <c r="H27" s="23">
        <f t="shared" si="1"/>
        <v>0</v>
      </c>
      <c r="I27" s="50" t="s">
        <v>53</v>
      </c>
      <c r="J27" s="34"/>
    </row>
    <row r="28" spans="1:11" s="4" customFormat="1" ht="34.5" customHeight="1" x14ac:dyDescent="0.45">
      <c r="A28" s="21"/>
      <c r="B28" s="18"/>
      <c r="C28" s="19"/>
      <c r="D28" s="20"/>
      <c r="E28" s="21" t="s">
        <v>31</v>
      </c>
      <c r="F28" s="22">
        <v>15</v>
      </c>
      <c r="G28" s="49"/>
      <c r="H28" s="23">
        <f t="shared" si="1"/>
        <v>0</v>
      </c>
      <c r="I28" s="52" t="s">
        <v>62</v>
      </c>
      <c r="J28" s="34"/>
    </row>
    <row r="29" spans="1:11" s="4" customFormat="1" ht="34.5" customHeight="1" x14ac:dyDescent="0.45">
      <c r="A29" s="21"/>
      <c r="B29" s="18"/>
      <c r="C29" s="19"/>
      <c r="D29" s="20"/>
      <c r="E29" s="21" t="s">
        <v>32</v>
      </c>
      <c r="F29" s="22">
        <v>99</v>
      </c>
      <c r="G29" s="49"/>
      <c r="H29" s="23">
        <f t="shared" si="1"/>
        <v>0</v>
      </c>
      <c r="I29" s="40"/>
      <c r="J29" s="34">
        <f>SUM(F27:F29)-B27</f>
        <v>-4</v>
      </c>
    </row>
    <row r="30" spans="1:11" s="4" customFormat="1" ht="34.5" customHeight="1" x14ac:dyDescent="0.45">
      <c r="A30" s="21" t="s">
        <v>34</v>
      </c>
      <c r="B30" s="18">
        <v>244</v>
      </c>
      <c r="C30" s="19">
        <v>12</v>
      </c>
      <c r="D30" s="20">
        <f t="shared" si="0"/>
        <v>2928</v>
      </c>
      <c r="E30" s="21" t="s">
        <v>63</v>
      </c>
      <c r="F30" s="22">
        <v>1</v>
      </c>
      <c r="G30" s="49"/>
      <c r="H30" s="23">
        <f t="shared" si="1"/>
        <v>0</v>
      </c>
      <c r="I30" s="38"/>
      <c r="J30" s="34"/>
    </row>
    <row r="31" spans="1:11" s="4" customFormat="1" ht="34.5" customHeight="1" x14ac:dyDescent="0.45">
      <c r="A31" s="21"/>
      <c r="B31" s="18"/>
      <c r="C31" s="19"/>
      <c r="D31" s="20"/>
      <c r="E31" s="21" t="s">
        <v>64</v>
      </c>
      <c r="F31" s="22">
        <v>1</v>
      </c>
      <c r="G31" s="49"/>
      <c r="H31" s="23">
        <f t="shared" si="1"/>
        <v>0</v>
      </c>
      <c r="I31" s="38" t="s">
        <v>65</v>
      </c>
      <c r="J31" s="34"/>
    </row>
    <row r="32" spans="1:11" s="4" customFormat="1" ht="34.5" customHeight="1" x14ac:dyDescent="0.45">
      <c r="A32" s="21"/>
      <c r="B32" s="18"/>
      <c r="C32" s="19"/>
      <c r="D32" s="20"/>
      <c r="E32" s="21" t="s">
        <v>66</v>
      </c>
      <c r="F32" s="22">
        <v>1</v>
      </c>
      <c r="G32" s="49"/>
      <c r="H32" s="23">
        <f t="shared" si="1"/>
        <v>0</v>
      </c>
      <c r="I32" s="38"/>
      <c r="J32" s="34"/>
    </row>
    <row r="33" spans="1:11" s="4" customFormat="1" ht="34.5" customHeight="1" x14ac:dyDescent="0.45">
      <c r="A33" s="21"/>
      <c r="B33" s="18"/>
      <c r="C33" s="19"/>
      <c r="D33" s="20"/>
      <c r="E33" s="21" t="s">
        <v>68</v>
      </c>
      <c r="F33" s="22">
        <v>9</v>
      </c>
      <c r="G33" s="49"/>
      <c r="H33" s="23">
        <f t="shared" si="1"/>
        <v>0</v>
      </c>
      <c r="I33" s="38"/>
      <c r="J33" s="34"/>
    </row>
    <row r="34" spans="1:11" s="4" customFormat="1" ht="34.5" customHeight="1" x14ac:dyDescent="0.45">
      <c r="A34" s="21"/>
      <c r="B34" s="18"/>
      <c r="C34" s="19"/>
      <c r="D34" s="20"/>
      <c r="E34" s="21" t="s">
        <v>67</v>
      </c>
      <c r="F34" s="22">
        <v>1</v>
      </c>
      <c r="G34" s="49"/>
      <c r="H34" s="23">
        <f t="shared" si="1"/>
        <v>0</v>
      </c>
      <c r="I34" s="38" t="s">
        <v>70</v>
      </c>
      <c r="J34" s="34"/>
    </row>
    <row r="35" spans="1:11" s="4" customFormat="1" ht="34.5" customHeight="1" x14ac:dyDescent="0.45">
      <c r="A35" s="21"/>
      <c r="B35" s="18"/>
      <c r="C35" s="19"/>
      <c r="D35" s="20"/>
      <c r="E35" s="21" t="s">
        <v>71</v>
      </c>
      <c r="F35" s="22">
        <v>6</v>
      </c>
      <c r="G35" s="49"/>
      <c r="H35" s="23">
        <f t="shared" si="1"/>
        <v>0</v>
      </c>
      <c r="I35" s="54" t="s">
        <v>72</v>
      </c>
      <c r="J35" s="34"/>
    </row>
    <row r="36" spans="1:11" s="4" customFormat="1" ht="34.5" customHeight="1" x14ac:dyDescent="0.45">
      <c r="A36" s="21"/>
      <c r="B36" s="18"/>
      <c r="C36" s="19"/>
      <c r="D36" s="20"/>
      <c r="E36" s="21" t="s">
        <v>73</v>
      </c>
      <c r="F36" s="22">
        <v>1</v>
      </c>
      <c r="G36" s="49"/>
      <c r="H36" s="23">
        <f t="shared" si="1"/>
        <v>0</v>
      </c>
      <c r="I36" s="53" t="s">
        <v>74</v>
      </c>
      <c r="J36" s="34"/>
    </row>
    <row r="37" spans="1:11" s="4" customFormat="1" ht="34.5" customHeight="1" x14ac:dyDescent="0.45">
      <c r="A37" s="21"/>
      <c r="B37" s="18"/>
      <c r="C37" s="19"/>
      <c r="D37" s="20"/>
      <c r="E37" s="21" t="s">
        <v>75</v>
      </c>
      <c r="F37" s="22">
        <v>1</v>
      </c>
      <c r="G37" s="49"/>
      <c r="H37" s="23">
        <f t="shared" si="1"/>
        <v>0</v>
      </c>
      <c r="I37" s="38"/>
      <c r="J37" s="34"/>
    </row>
    <row r="38" spans="1:11" s="4" customFormat="1" ht="34.5" customHeight="1" x14ac:dyDescent="0.45">
      <c r="A38" s="21"/>
      <c r="B38" s="18"/>
      <c r="C38" s="19"/>
      <c r="D38" s="20"/>
      <c r="E38" s="21" t="s">
        <v>76</v>
      </c>
      <c r="F38" s="22">
        <v>18</v>
      </c>
      <c r="G38" s="49"/>
      <c r="H38" s="23">
        <f t="shared" si="1"/>
        <v>0</v>
      </c>
      <c r="I38" s="53" t="s">
        <v>77</v>
      </c>
      <c r="J38" s="34"/>
    </row>
    <row r="39" spans="1:11" s="4" customFormat="1" ht="34.5" customHeight="1" x14ac:dyDescent="0.45">
      <c r="A39" s="21"/>
      <c r="B39" s="18"/>
      <c r="C39" s="19"/>
      <c r="D39" s="20"/>
      <c r="E39" s="21" t="s">
        <v>76</v>
      </c>
      <c r="F39" s="22">
        <v>209</v>
      </c>
      <c r="G39" s="49"/>
      <c r="H39" s="23">
        <f t="shared" si="1"/>
        <v>0</v>
      </c>
      <c r="I39" s="38"/>
      <c r="J39" s="34"/>
    </row>
    <row r="40" spans="1:11" s="4" customFormat="1" ht="34.5" customHeight="1" x14ac:dyDescent="0.45">
      <c r="A40" s="21"/>
      <c r="B40" s="18"/>
      <c r="C40" s="19"/>
      <c r="D40" s="20"/>
      <c r="E40" s="21" t="s">
        <v>78</v>
      </c>
      <c r="F40" s="22">
        <v>2</v>
      </c>
      <c r="G40" s="49"/>
      <c r="H40" s="23">
        <f t="shared" si="1"/>
        <v>0</v>
      </c>
      <c r="I40" s="38"/>
      <c r="J40" s="34"/>
    </row>
    <row r="41" spans="1:11" s="4" customFormat="1" ht="34.5" customHeight="1" x14ac:dyDescent="0.45">
      <c r="A41" s="21"/>
      <c r="B41" s="18"/>
      <c r="C41" s="19"/>
      <c r="D41" s="20"/>
      <c r="E41" s="21" t="s">
        <v>79</v>
      </c>
      <c r="F41" s="22">
        <v>4</v>
      </c>
      <c r="G41" s="49"/>
      <c r="H41" s="23">
        <f t="shared" si="1"/>
        <v>0</v>
      </c>
      <c r="I41" s="38"/>
      <c r="J41" s="34">
        <f>SUM(F30:F41)-B30</f>
        <v>10</v>
      </c>
    </row>
    <row r="42" spans="1:11" s="4" customFormat="1" ht="34.5" customHeight="1" x14ac:dyDescent="0.45">
      <c r="A42" s="21" t="s">
        <v>33</v>
      </c>
      <c r="B42" s="18">
        <v>4731</v>
      </c>
      <c r="C42" s="19">
        <v>11.2</v>
      </c>
      <c r="D42" s="20">
        <f t="shared" si="0"/>
        <v>52987.199999999997</v>
      </c>
      <c r="E42" s="21" t="s">
        <v>33</v>
      </c>
      <c r="F42" s="22">
        <v>2762</v>
      </c>
      <c r="G42" s="49"/>
      <c r="H42" s="23">
        <f>F42*G42</f>
        <v>0</v>
      </c>
      <c r="I42" s="38"/>
      <c r="J42" s="34"/>
      <c r="K42" s="45"/>
    </row>
    <row r="43" spans="1:11" s="4" customFormat="1" ht="34.5" customHeight="1" x14ac:dyDescent="0.45">
      <c r="A43" s="21"/>
      <c r="B43" s="18"/>
      <c r="C43" s="19"/>
      <c r="D43" s="20"/>
      <c r="E43" s="21" t="s">
        <v>52</v>
      </c>
      <c r="F43" s="22">
        <v>1779</v>
      </c>
      <c r="G43" s="49"/>
      <c r="H43" s="23">
        <f t="shared" ref="H43:H44" si="2">F43*G43</f>
        <v>0</v>
      </c>
      <c r="I43" s="38"/>
      <c r="J43" s="34">
        <f>F42+F43-B42</f>
        <v>-190</v>
      </c>
      <c r="K43" s="45"/>
    </row>
    <row r="44" spans="1:11" s="4" customFormat="1" ht="34.5" customHeight="1" x14ac:dyDescent="0.45">
      <c r="A44" s="21" t="s">
        <v>35</v>
      </c>
      <c r="B44" s="18">
        <v>1609</v>
      </c>
      <c r="C44" s="19">
        <v>6</v>
      </c>
      <c r="D44" s="20">
        <f t="shared" si="0"/>
        <v>9654</v>
      </c>
      <c r="E44" s="21" t="s">
        <v>52</v>
      </c>
      <c r="F44" s="22">
        <v>1609</v>
      </c>
      <c r="G44" s="49"/>
      <c r="H44" s="23">
        <f t="shared" si="2"/>
        <v>0</v>
      </c>
      <c r="I44" s="38"/>
      <c r="J44" s="34">
        <f>F44-B44</f>
        <v>0</v>
      </c>
      <c r="K44" s="47"/>
    </row>
    <row r="45" spans="1:11" s="4" customFormat="1" ht="34.5" customHeight="1" x14ac:dyDescent="0.45">
      <c r="A45" s="21" t="s">
        <v>43</v>
      </c>
      <c r="B45" s="18">
        <v>481</v>
      </c>
      <c r="C45" s="19">
        <v>0.1</v>
      </c>
      <c r="D45" s="20">
        <f t="shared" si="0"/>
        <v>48.1</v>
      </c>
      <c r="E45" s="55" t="s">
        <v>80</v>
      </c>
      <c r="F45" s="22">
        <v>478</v>
      </c>
      <c r="G45" s="49"/>
      <c r="H45" s="23">
        <f>F45*G45</f>
        <v>0</v>
      </c>
      <c r="I45" s="38"/>
      <c r="J45" s="34">
        <f>F45-B45</f>
        <v>-3</v>
      </c>
      <c r="K45" s="47"/>
    </row>
    <row r="46" spans="1:11" s="4" customFormat="1" ht="34.5" customHeight="1" x14ac:dyDescent="0.45">
      <c r="A46" s="21" t="s">
        <v>24</v>
      </c>
      <c r="B46" s="18">
        <v>295</v>
      </c>
      <c r="C46" s="19">
        <v>13.6</v>
      </c>
      <c r="D46" s="20">
        <f t="shared" si="0"/>
        <v>4012</v>
      </c>
      <c r="E46" s="21" t="s">
        <v>24</v>
      </c>
      <c r="F46" s="22">
        <v>146</v>
      </c>
      <c r="G46" s="49"/>
      <c r="H46" s="23">
        <f t="shared" ref="H46:H58" si="3">F46*G46</f>
        <v>0</v>
      </c>
      <c r="I46" s="38"/>
      <c r="J46" s="34"/>
      <c r="K46" s="1"/>
    </row>
    <row r="47" spans="1:11" s="4" customFormat="1" ht="34.5" customHeight="1" x14ac:dyDescent="0.45">
      <c r="A47" s="21"/>
      <c r="B47" s="18"/>
      <c r="C47" s="19"/>
      <c r="D47" s="20"/>
      <c r="E47" s="21" t="s">
        <v>25</v>
      </c>
      <c r="F47" s="22">
        <v>35</v>
      </c>
      <c r="G47" s="49"/>
      <c r="H47" s="23">
        <f t="shared" si="3"/>
        <v>0</v>
      </c>
      <c r="I47" s="38"/>
      <c r="J47" s="34"/>
      <c r="K47" s="1"/>
    </row>
    <row r="48" spans="1:11" s="4" customFormat="1" ht="34.5" customHeight="1" x14ac:dyDescent="0.45">
      <c r="A48" s="21"/>
      <c r="B48" s="18"/>
      <c r="C48" s="19"/>
      <c r="D48" s="20"/>
      <c r="E48" s="21" t="s">
        <v>57</v>
      </c>
      <c r="F48" s="22">
        <v>1</v>
      </c>
      <c r="G48" s="49"/>
      <c r="H48" s="23">
        <f t="shared" si="3"/>
        <v>0</v>
      </c>
      <c r="I48" s="38"/>
      <c r="J48" s="34"/>
      <c r="K48" s="1"/>
    </row>
    <row r="49" spans="1:11" s="4" customFormat="1" ht="34.5" customHeight="1" x14ac:dyDescent="0.45">
      <c r="A49" s="21"/>
      <c r="B49" s="18"/>
      <c r="C49" s="19"/>
      <c r="D49" s="20"/>
      <c r="E49" s="21" t="s">
        <v>81</v>
      </c>
      <c r="F49" s="22">
        <v>1</v>
      </c>
      <c r="G49" s="49"/>
      <c r="H49" s="23">
        <f t="shared" si="3"/>
        <v>0</v>
      </c>
      <c r="I49" s="38"/>
      <c r="J49" s="34"/>
      <c r="K49" s="1"/>
    </row>
    <row r="50" spans="1:11" s="4" customFormat="1" ht="34.5" customHeight="1" x14ac:dyDescent="0.45">
      <c r="A50" s="21"/>
      <c r="B50" s="18"/>
      <c r="C50" s="19"/>
      <c r="D50" s="20"/>
      <c r="E50" s="21" t="s">
        <v>36</v>
      </c>
      <c r="F50" s="22">
        <v>1</v>
      </c>
      <c r="G50" s="49"/>
      <c r="H50" s="23">
        <f t="shared" si="3"/>
        <v>0</v>
      </c>
      <c r="I50" s="38"/>
      <c r="J50" s="34"/>
      <c r="K50" s="1"/>
    </row>
    <row r="51" spans="1:11" s="4" customFormat="1" ht="34.5" customHeight="1" x14ac:dyDescent="0.45">
      <c r="A51" s="21"/>
      <c r="B51" s="18"/>
      <c r="C51" s="19"/>
      <c r="D51" s="20"/>
      <c r="E51" s="21" t="s">
        <v>86</v>
      </c>
      <c r="F51" s="22">
        <v>16</v>
      </c>
      <c r="G51" s="49"/>
      <c r="H51" s="23">
        <f t="shared" si="3"/>
        <v>0</v>
      </c>
      <c r="I51" s="56" t="s">
        <v>87</v>
      </c>
      <c r="J51" s="34"/>
      <c r="K51" s="1"/>
    </row>
    <row r="52" spans="1:11" s="4" customFormat="1" ht="34.5" customHeight="1" x14ac:dyDescent="0.45">
      <c r="A52" s="21"/>
      <c r="B52" s="18"/>
      <c r="C52" s="19"/>
      <c r="D52" s="20"/>
      <c r="E52" s="21" t="s">
        <v>82</v>
      </c>
      <c r="F52" s="22">
        <v>12</v>
      </c>
      <c r="G52" s="49"/>
      <c r="H52" s="23">
        <f t="shared" si="3"/>
        <v>0</v>
      </c>
      <c r="I52" s="39" t="s">
        <v>83</v>
      </c>
      <c r="J52" s="34"/>
      <c r="K52" s="1"/>
    </row>
    <row r="53" spans="1:11" s="4" customFormat="1" ht="34.5" customHeight="1" x14ac:dyDescent="0.45">
      <c r="A53" s="21"/>
      <c r="B53" s="18"/>
      <c r="C53" s="19"/>
      <c r="D53" s="20"/>
      <c r="E53" s="21" t="s">
        <v>82</v>
      </c>
      <c r="F53" s="22">
        <v>7</v>
      </c>
      <c r="G53" s="49"/>
      <c r="H53" s="23">
        <f t="shared" si="3"/>
        <v>0</v>
      </c>
      <c r="I53" s="38" t="s">
        <v>84</v>
      </c>
      <c r="J53" s="34"/>
      <c r="K53" s="1"/>
    </row>
    <row r="54" spans="1:11" s="4" customFormat="1" ht="34.5" customHeight="1" x14ac:dyDescent="0.45">
      <c r="A54" s="21"/>
      <c r="B54" s="18"/>
      <c r="C54" s="19"/>
      <c r="D54" s="20"/>
      <c r="E54" s="21" t="s">
        <v>82</v>
      </c>
      <c r="F54" s="22">
        <v>25</v>
      </c>
      <c r="G54" s="49"/>
      <c r="H54" s="23">
        <f t="shared" si="3"/>
        <v>0</v>
      </c>
      <c r="I54" s="38" t="s">
        <v>85</v>
      </c>
      <c r="J54" s="34"/>
      <c r="K54" s="1"/>
    </row>
    <row r="55" spans="1:11" s="4" customFormat="1" ht="34.5" customHeight="1" x14ac:dyDescent="0.45">
      <c r="A55" s="21"/>
      <c r="B55" s="18"/>
      <c r="C55" s="19"/>
      <c r="D55" s="20"/>
      <c r="E55" s="21" t="s">
        <v>88</v>
      </c>
      <c r="F55" s="22">
        <v>18</v>
      </c>
      <c r="G55" s="49"/>
      <c r="H55" s="23">
        <f t="shared" si="3"/>
        <v>0</v>
      </c>
      <c r="I55" s="38" t="s">
        <v>89</v>
      </c>
      <c r="J55" s="34"/>
      <c r="K55" s="1"/>
    </row>
    <row r="56" spans="1:11" s="4" customFormat="1" ht="34.5" customHeight="1" x14ac:dyDescent="0.45">
      <c r="A56" s="21"/>
      <c r="B56" s="18"/>
      <c r="C56" s="19"/>
      <c r="D56" s="20"/>
      <c r="E56" s="21" t="s">
        <v>88</v>
      </c>
      <c r="F56" s="22">
        <v>5</v>
      </c>
      <c r="G56" s="49"/>
      <c r="H56" s="23">
        <f t="shared" si="3"/>
        <v>0</v>
      </c>
      <c r="I56" s="38" t="s">
        <v>90</v>
      </c>
      <c r="J56" s="34"/>
      <c r="K56" s="1"/>
    </row>
    <row r="57" spans="1:11" s="4" customFormat="1" ht="34.5" customHeight="1" x14ac:dyDescent="0.45">
      <c r="A57" s="21"/>
      <c r="B57" s="18"/>
      <c r="C57" s="19"/>
      <c r="D57" s="20"/>
      <c r="E57" s="21" t="s">
        <v>91</v>
      </c>
      <c r="F57" s="22">
        <v>7</v>
      </c>
      <c r="G57" s="49"/>
      <c r="H57" s="23">
        <f t="shared" si="3"/>
        <v>0</v>
      </c>
      <c r="I57" s="38"/>
      <c r="J57" s="34"/>
      <c r="K57" s="1"/>
    </row>
    <row r="58" spans="1:11" s="4" customFormat="1" ht="34.5" customHeight="1" x14ac:dyDescent="0.45">
      <c r="A58" s="21"/>
      <c r="B58" s="18"/>
      <c r="C58" s="19"/>
      <c r="D58" s="20"/>
      <c r="E58" s="21" t="s">
        <v>92</v>
      </c>
      <c r="F58" s="22">
        <v>8</v>
      </c>
      <c r="G58" s="49"/>
      <c r="H58" s="23">
        <f t="shared" si="3"/>
        <v>0</v>
      </c>
      <c r="I58" s="38"/>
      <c r="J58" s="34">
        <f>SUM(F46:F58)-B46</f>
        <v>-13</v>
      </c>
      <c r="K58" s="1"/>
    </row>
    <row r="59" spans="1:11" s="4" customFormat="1" ht="34.5" customHeight="1" x14ac:dyDescent="0.45">
      <c r="A59" s="21" t="s">
        <v>26</v>
      </c>
      <c r="B59" s="18">
        <v>2532</v>
      </c>
      <c r="C59" s="19">
        <v>13.1</v>
      </c>
      <c r="D59" s="20">
        <f t="shared" si="0"/>
        <v>33169.199999999997</v>
      </c>
      <c r="E59" s="21" t="s">
        <v>26</v>
      </c>
      <c r="F59" s="22">
        <v>2469</v>
      </c>
      <c r="G59" s="49"/>
      <c r="H59" s="23">
        <f t="shared" si="1"/>
        <v>0</v>
      </c>
      <c r="I59" s="38"/>
      <c r="J59" s="34"/>
      <c r="K59" s="1"/>
    </row>
    <row r="60" spans="1:11" s="4" customFormat="1" ht="34.5" customHeight="1" x14ac:dyDescent="0.45">
      <c r="A60" s="21"/>
      <c r="B60" s="18"/>
      <c r="C60" s="19"/>
      <c r="D60" s="20"/>
      <c r="E60" s="21" t="s">
        <v>49</v>
      </c>
      <c r="F60" s="22">
        <v>10</v>
      </c>
      <c r="G60" s="49"/>
      <c r="H60" s="23">
        <f t="shared" si="1"/>
        <v>0</v>
      </c>
      <c r="I60" s="38"/>
      <c r="J60" s="34">
        <f>SUM(F59:F60)-B59</f>
        <v>-53</v>
      </c>
      <c r="K60" s="1"/>
    </row>
    <row r="61" spans="1:11" s="4" customFormat="1" ht="34.5" customHeight="1" x14ac:dyDescent="0.45">
      <c r="A61" s="21" t="s">
        <v>25</v>
      </c>
      <c r="B61" s="18">
        <v>287</v>
      </c>
      <c r="C61" s="19">
        <v>14.2</v>
      </c>
      <c r="D61" s="20">
        <f t="shared" si="0"/>
        <v>4075.3999999999996</v>
      </c>
      <c r="E61" s="21" t="s">
        <v>25</v>
      </c>
      <c r="F61" s="22">
        <v>270</v>
      </c>
      <c r="G61" s="49"/>
      <c r="H61" s="23">
        <f t="shared" si="1"/>
        <v>0</v>
      </c>
      <c r="I61" s="38"/>
      <c r="J61" s="34"/>
      <c r="K61" s="46"/>
    </row>
    <row r="62" spans="1:11" s="4" customFormat="1" ht="34.5" customHeight="1" x14ac:dyDescent="0.45">
      <c r="A62" s="21"/>
      <c r="B62" s="18"/>
      <c r="C62" s="19"/>
      <c r="D62" s="20"/>
      <c r="E62" s="21" t="s">
        <v>24</v>
      </c>
      <c r="F62" s="22">
        <v>40</v>
      </c>
      <c r="G62" s="49"/>
      <c r="H62" s="23">
        <f t="shared" si="1"/>
        <v>0</v>
      </c>
      <c r="I62" s="38"/>
      <c r="J62" s="34"/>
      <c r="K62" s="46"/>
    </row>
    <row r="63" spans="1:11" s="4" customFormat="1" ht="34.5" customHeight="1" x14ac:dyDescent="0.45">
      <c r="A63" s="21"/>
      <c r="B63" s="18"/>
      <c r="C63" s="19"/>
      <c r="D63" s="20"/>
      <c r="E63" s="21" t="s">
        <v>94</v>
      </c>
      <c r="F63" s="22">
        <v>52</v>
      </c>
      <c r="G63" s="49"/>
      <c r="H63" s="23">
        <f t="shared" si="1"/>
        <v>0</v>
      </c>
      <c r="I63" s="53" t="s">
        <v>95</v>
      </c>
      <c r="J63" s="34">
        <f>SUM(F61:F63)-B61</f>
        <v>75</v>
      </c>
      <c r="K63" s="46"/>
    </row>
    <row r="64" spans="1:11" s="4" customFormat="1" ht="34.5" customHeight="1" x14ac:dyDescent="0.45">
      <c r="A64" s="21" t="s">
        <v>36</v>
      </c>
      <c r="B64" s="18">
        <v>1171</v>
      </c>
      <c r="C64" s="19">
        <v>13.6</v>
      </c>
      <c r="D64" s="20">
        <f t="shared" si="0"/>
        <v>15925.6</v>
      </c>
      <c r="E64" s="21" t="s">
        <v>54</v>
      </c>
      <c r="F64" s="22">
        <v>1144</v>
      </c>
      <c r="G64" s="49"/>
      <c r="H64" s="23">
        <f t="shared" si="1"/>
        <v>0</v>
      </c>
      <c r="I64" s="58" t="s">
        <v>96</v>
      </c>
      <c r="J64" s="34"/>
      <c r="K64" s="1"/>
    </row>
    <row r="65" spans="1:11" s="4" customFormat="1" ht="34.5" customHeight="1" x14ac:dyDescent="0.45">
      <c r="A65" s="21"/>
      <c r="B65" s="18"/>
      <c r="C65" s="19"/>
      <c r="D65" s="20"/>
      <c r="E65" s="21" t="s">
        <v>97</v>
      </c>
      <c r="F65" s="22">
        <v>18</v>
      </c>
      <c r="G65" s="49"/>
      <c r="H65" s="23">
        <f t="shared" si="1"/>
        <v>0</v>
      </c>
      <c r="I65" s="58" t="s">
        <v>96</v>
      </c>
      <c r="J65" s="34">
        <f>F64+F65-B64</f>
        <v>-9</v>
      </c>
      <c r="K65" s="1"/>
    </row>
    <row r="66" spans="1:11" s="4" customFormat="1" ht="34.5" customHeight="1" x14ac:dyDescent="0.45">
      <c r="A66" s="21" t="s">
        <v>37</v>
      </c>
      <c r="B66" s="18">
        <v>95</v>
      </c>
      <c r="C66" s="19">
        <v>12</v>
      </c>
      <c r="D66" s="20">
        <f t="shared" si="0"/>
        <v>1140</v>
      </c>
      <c r="E66" s="21" t="s">
        <v>37</v>
      </c>
      <c r="F66" s="22">
        <v>40</v>
      </c>
      <c r="G66" s="49"/>
      <c r="H66" s="23">
        <f t="shared" si="1"/>
        <v>0</v>
      </c>
      <c r="I66" s="38" t="s">
        <v>65</v>
      </c>
      <c r="J66" s="34"/>
    </row>
    <row r="67" spans="1:11" s="4" customFormat="1" ht="34.5" customHeight="1" x14ac:dyDescent="0.45">
      <c r="A67" s="21"/>
      <c r="B67" s="18"/>
      <c r="C67" s="19"/>
      <c r="D67" s="20"/>
      <c r="E67" s="21" t="s">
        <v>37</v>
      </c>
      <c r="F67" s="22">
        <v>20</v>
      </c>
      <c r="G67" s="49"/>
      <c r="H67" s="23">
        <f t="shared" si="1"/>
        <v>0</v>
      </c>
      <c r="I67" s="38" t="s">
        <v>69</v>
      </c>
      <c r="J67" s="34"/>
    </row>
    <row r="68" spans="1:11" s="4" customFormat="1" ht="34.5" customHeight="1" x14ac:dyDescent="0.45">
      <c r="A68" s="21"/>
      <c r="B68" s="18"/>
      <c r="C68" s="19"/>
      <c r="D68" s="20"/>
      <c r="E68" s="21" t="s">
        <v>37</v>
      </c>
      <c r="F68" s="22">
        <v>32</v>
      </c>
      <c r="G68" s="49"/>
      <c r="H68" s="23">
        <f t="shared" si="1"/>
        <v>0</v>
      </c>
      <c r="I68" s="39" t="s">
        <v>98</v>
      </c>
      <c r="J68" s="34">
        <f>SUM(F66:F68)-B66</f>
        <v>-3</v>
      </c>
    </row>
    <row r="69" spans="1:11" s="4" customFormat="1" ht="35.15" customHeight="1" x14ac:dyDescent="0.45">
      <c r="A69" s="21" t="s">
        <v>38</v>
      </c>
      <c r="B69" s="18">
        <v>496</v>
      </c>
      <c r="C69" s="19">
        <v>9</v>
      </c>
      <c r="D69" s="20">
        <f t="shared" si="0"/>
        <v>4464</v>
      </c>
      <c r="E69" s="21" t="s">
        <v>63</v>
      </c>
      <c r="F69" s="22">
        <v>44</v>
      </c>
      <c r="G69" s="49"/>
      <c r="H69" s="23">
        <f t="shared" si="1"/>
        <v>0</v>
      </c>
      <c r="I69" s="39"/>
      <c r="J69" s="34"/>
    </row>
    <row r="70" spans="1:11" s="4" customFormat="1" ht="35.15" customHeight="1" x14ac:dyDescent="0.45">
      <c r="A70" s="21"/>
      <c r="B70" s="18"/>
      <c r="C70" s="19"/>
      <c r="D70" s="20"/>
      <c r="E70" s="21" t="s">
        <v>99</v>
      </c>
      <c r="F70" s="22">
        <v>3</v>
      </c>
      <c r="G70" s="49"/>
      <c r="H70" s="23">
        <f t="shared" si="1"/>
        <v>0</v>
      </c>
      <c r="I70" s="59" t="s">
        <v>100</v>
      </c>
      <c r="J70" s="34"/>
    </row>
    <row r="71" spans="1:11" s="4" customFormat="1" ht="35.15" customHeight="1" x14ac:dyDescent="0.45">
      <c r="A71" s="21"/>
      <c r="B71" s="18"/>
      <c r="C71" s="19"/>
      <c r="D71" s="20"/>
      <c r="E71" s="21" t="s">
        <v>99</v>
      </c>
      <c r="F71" s="22">
        <v>4</v>
      </c>
      <c r="G71" s="49"/>
      <c r="H71" s="23">
        <f t="shared" si="1"/>
        <v>0</v>
      </c>
      <c r="I71" s="39"/>
      <c r="J71" s="34"/>
    </row>
    <row r="72" spans="1:11" s="4" customFormat="1" ht="35.15" customHeight="1" x14ac:dyDescent="0.45">
      <c r="A72" s="21"/>
      <c r="B72" s="18"/>
      <c r="C72" s="19"/>
      <c r="D72" s="20"/>
      <c r="E72" s="21" t="s">
        <v>66</v>
      </c>
      <c r="F72" s="22">
        <v>2</v>
      </c>
      <c r="G72" s="49"/>
      <c r="H72" s="23">
        <f t="shared" si="1"/>
        <v>0</v>
      </c>
      <c r="I72" s="39"/>
      <c r="J72" s="34"/>
    </row>
    <row r="73" spans="1:11" s="4" customFormat="1" ht="35.15" customHeight="1" x14ac:dyDescent="0.45">
      <c r="A73" s="21"/>
      <c r="B73" s="18"/>
      <c r="C73" s="19"/>
      <c r="D73" s="20"/>
      <c r="E73" s="21" t="s">
        <v>67</v>
      </c>
      <c r="F73" s="22">
        <v>11</v>
      </c>
      <c r="G73" s="49"/>
      <c r="H73" s="23">
        <f t="shared" si="1"/>
        <v>0</v>
      </c>
      <c r="I73" s="39" t="s">
        <v>65</v>
      </c>
      <c r="J73" s="34"/>
    </row>
    <row r="74" spans="1:11" s="4" customFormat="1" ht="35.15" customHeight="1" x14ac:dyDescent="0.45">
      <c r="A74" s="21"/>
      <c r="B74" s="18"/>
      <c r="C74" s="19"/>
      <c r="D74" s="20"/>
      <c r="E74" s="21" t="s">
        <v>101</v>
      </c>
      <c r="F74" s="22">
        <v>18</v>
      </c>
      <c r="G74" s="49"/>
      <c r="H74" s="23">
        <f t="shared" si="1"/>
        <v>0</v>
      </c>
      <c r="I74" s="39"/>
      <c r="J74" s="34"/>
    </row>
    <row r="75" spans="1:11" s="4" customFormat="1" ht="35.15" customHeight="1" x14ac:dyDescent="0.45">
      <c r="A75" s="21"/>
      <c r="B75" s="18"/>
      <c r="C75" s="19"/>
      <c r="D75" s="20"/>
      <c r="E75" s="21" t="s">
        <v>102</v>
      </c>
      <c r="F75" s="22">
        <v>15</v>
      </c>
      <c r="G75" s="49"/>
      <c r="H75" s="23">
        <f t="shared" si="1"/>
        <v>0</v>
      </c>
      <c r="I75" s="39"/>
      <c r="J75" s="34"/>
    </row>
    <row r="76" spans="1:11" s="4" customFormat="1" ht="35.15" customHeight="1" x14ac:dyDescent="0.45">
      <c r="A76" s="21"/>
      <c r="B76" s="18"/>
      <c r="C76" s="19"/>
      <c r="D76" s="20"/>
      <c r="E76" s="21" t="s">
        <v>71</v>
      </c>
      <c r="F76" s="22">
        <v>34</v>
      </c>
      <c r="G76" s="49"/>
      <c r="H76" s="23">
        <f t="shared" si="1"/>
        <v>0</v>
      </c>
      <c r="I76" s="60" t="s">
        <v>104</v>
      </c>
      <c r="J76" s="34"/>
    </row>
    <row r="77" spans="1:11" s="4" customFormat="1" ht="35.15" customHeight="1" x14ac:dyDescent="0.45">
      <c r="A77" s="21"/>
      <c r="B77" s="18"/>
      <c r="C77" s="19"/>
      <c r="D77" s="20"/>
      <c r="E77" s="21" t="s">
        <v>103</v>
      </c>
      <c r="F77" s="22">
        <v>1</v>
      </c>
      <c r="G77" s="49"/>
      <c r="H77" s="23">
        <f t="shared" si="1"/>
        <v>0</v>
      </c>
      <c r="I77" s="39"/>
      <c r="J77" s="34"/>
    </row>
    <row r="78" spans="1:11" s="4" customFormat="1" ht="35.15" customHeight="1" x14ac:dyDescent="0.45">
      <c r="A78" s="21"/>
      <c r="B78" s="18"/>
      <c r="C78" s="19"/>
      <c r="D78" s="20"/>
      <c r="E78" s="21" t="s">
        <v>73</v>
      </c>
      <c r="F78" s="22">
        <v>9</v>
      </c>
      <c r="G78" s="49"/>
      <c r="H78" s="23">
        <f t="shared" si="1"/>
        <v>0</v>
      </c>
      <c r="I78" s="59" t="s">
        <v>105</v>
      </c>
      <c r="J78" s="34"/>
    </row>
    <row r="79" spans="1:11" s="4" customFormat="1" ht="35.15" customHeight="1" x14ac:dyDescent="0.45">
      <c r="A79" s="21"/>
      <c r="B79" s="18"/>
      <c r="C79" s="19"/>
      <c r="D79" s="20"/>
      <c r="E79" s="21" t="s">
        <v>106</v>
      </c>
      <c r="F79" s="22">
        <v>25</v>
      </c>
      <c r="G79" s="49"/>
      <c r="H79" s="23">
        <f t="shared" si="1"/>
        <v>0</v>
      </c>
      <c r="I79" s="59" t="s">
        <v>108</v>
      </c>
      <c r="J79" s="34"/>
    </row>
    <row r="80" spans="1:11" s="4" customFormat="1" ht="35.15" customHeight="1" x14ac:dyDescent="0.45">
      <c r="A80" s="21"/>
      <c r="B80" s="18"/>
      <c r="C80" s="19"/>
      <c r="D80" s="20"/>
      <c r="E80" s="21" t="s">
        <v>106</v>
      </c>
      <c r="F80" s="22">
        <v>6</v>
      </c>
      <c r="G80" s="49"/>
      <c r="H80" s="23">
        <f t="shared" si="1"/>
        <v>0</v>
      </c>
      <c r="I80" s="59"/>
      <c r="J80" s="34"/>
    </row>
    <row r="81" spans="1:11" s="4" customFormat="1" ht="35.15" customHeight="1" x14ac:dyDescent="0.45">
      <c r="A81" s="21"/>
      <c r="B81" s="18"/>
      <c r="C81" s="19"/>
      <c r="D81" s="20"/>
      <c r="E81" s="21" t="s">
        <v>75</v>
      </c>
      <c r="F81" s="22">
        <v>2</v>
      </c>
      <c r="G81" s="49"/>
      <c r="H81" s="23">
        <f t="shared" si="1"/>
        <v>0</v>
      </c>
      <c r="I81" s="59"/>
      <c r="J81" s="34"/>
    </row>
    <row r="82" spans="1:11" s="4" customFormat="1" ht="35.15" customHeight="1" x14ac:dyDescent="0.45">
      <c r="A82" s="21"/>
      <c r="B82" s="18"/>
      <c r="C82" s="19"/>
      <c r="D82" s="20"/>
      <c r="E82" s="21" t="s">
        <v>76</v>
      </c>
      <c r="F82" s="22">
        <v>108</v>
      </c>
      <c r="G82" s="49"/>
      <c r="H82" s="23">
        <f t="shared" si="1"/>
        <v>0</v>
      </c>
      <c r="I82" s="59"/>
      <c r="J82" s="34"/>
    </row>
    <row r="83" spans="1:11" s="4" customFormat="1" ht="35.15" customHeight="1" x14ac:dyDescent="0.45">
      <c r="A83" s="21"/>
      <c r="B83" s="18"/>
      <c r="C83" s="19"/>
      <c r="D83" s="20"/>
      <c r="E83" s="21" t="s">
        <v>78</v>
      </c>
      <c r="F83" s="22">
        <v>180</v>
      </c>
      <c r="G83" s="49"/>
      <c r="H83" s="23">
        <f t="shared" si="1"/>
        <v>0</v>
      </c>
      <c r="I83" s="59"/>
      <c r="J83" s="34"/>
    </row>
    <row r="84" spans="1:11" s="4" customFormat="1" ht="35.15" customHeight="1" x14ac:dyDescent="0.45">
      <c r="A84" s="21"/>
      <c r="B84" s="18"/>
      <c r="C84" s="19"/>
      <c r="D84" s="20"/>
      <c r="E84" s="21" t="s">
        <v>78</v>
      </c>
      <c r="F84" s="22">
        <v>22</v>
      </c>
      <c r="G84" s="49"/>
      <c r="H84" s="23">
        <f t="shared" si="1"/>
        <v>0</v>
      </c>
      <c r="I84" s="59" t="s">
        <v>107</v>
      </c>
      <c r="J84" s="34"/>
    </row>
    <row r="85" spans="1:11" s="4" customFormat="1" ht="35.15" customHeight="1" x14ac:dyDescent="0.45">
      <c r="A85" s="21"/>
      <c r="B85" s="18"/>
      <c r="C85" s="19"/>
      <c r="D85" s="20"/>
      <c r="E85" s="21" t="s">
        <v>79</v>
      </c>
      <c r="F85" s="22">
        <v>18</v>
      </c>
      <c r="G85" s="49"/>
      <c r="H85" s="23">
        <f t="shared" si="1"/>
        <v>0</v>
      </c>
      <c r="I85" s="39"/>
      <c r="J85" s="34">
        <f>SUM(F69:F85)-B69</f>
        <v>6</v>
      </c>
    </row>
    <row r="86" spans="1:11" s="4" customFormat="1" ht="34.5" customHeight="1" x14ac:dyDescent="0.45">
      <c r="A86" s="21" t="s">
        <v>39</v>
      </c>
      <c r="B86" s="18">
        <v>58</v>
      </c>
      <c r="C86" s="19">
        <v>35</v>
      </c>
      <c r="D86" s="20">
        <f t="shared" si="0"/>
        <v>2030</v>
      </c>
      <c r="E86" s="21" t="s">
        <v>63</v>
      </c>
      <c r="F86" s="22">
        <v>7</v>
      </c>
      <c r="G86" s="49"/>
      <c r="H86" s="23">
        <f t="shared" si="1"/>
        <v>0</v>
      </c>
      <c r="I86" s="39"/>
      <c r="J86" s="34"/>
      <c r="K86" s="48"/>
    </row>
    <row r="87" spans="1:11" s="4" customFormat="1" ht="34.5" customHeight="1" x14ac:dyDescent="0.45">
      <c r="A87" s="21"/>
      <c r="B87" s="18"/>
      <c r="C87" s="19"/>
      <c r="D87" s="20"/>
      <c r="E87" s="21" t="s">
        <v>68</v>
      </c>
      <c r="F87" s="22">
        <v>1</v>
      </c>
      <c r="G87" s="49"/>
      <c r="H87" s="23">
        <f t="shared" si="1"/>
        <v>0</v>
      </c>
      <c r="I87" s="39"/>
      <c r="J87" s="34"/>
      <c r="K87" s="48"/>
    </row>
    <row r="88" spans="1:11" s="4" customFormat="1" ht="34.5" customHeight="1" x14ac:dyDescent="0.45">
      <c r="A88" s="21"/>
      <c r="B88" s="18"/>
      <c r="C88" s="19"/>
      <c r="D88" s="20"/>
      <c r="E88" s="21" t="s">
        <v>109</v>
      </c>
      <c r="F88" s="22">
        <v>14</v>
      </c>
      <c r="G88" s="49"/>
      <c r="H88" s="23">
        <f t="shared" si="1"/>
        <v>0</v>
      </c>
      <c r="I88" s="59" t="s">
        <v>110</v>
      </c>
      <c r="J88" s="34"/>
      <c r="K88" s="48"/>
    </row>
    <row r="89" spans="1:11" s="4" customFormat="1" ht="34.5" customHeight="1" x14ac:dyDescent="0.45">
      <c r="A89" s="21"/>
      <c r="B89" s="18"/>
      <c r="C89" s="19"/>
      <c r="D89" s="20"/>
      <c r="E89" s="21" t="s">
        <v>112</v>
      </c>
      <c r="F89" s="22">
        <v>14</v>
      </c>
      <c r="G89" s="49"/>
      <c r="H89" s="23">
        <f t="shared" si="1"/>
        <v>0</v>
      </c>
      <c r="I89" s="59" t="s">
        <v>111</v>
      </c>
      <c r="J89" s="34"/>
      <c r="K89" s="48"/>
    </row>
    <row r="90" spans="1:11" s="4" customFormat="1" ht="34.5" customHeight="1" x14ac:dyDescent="0.45">
      <c r="A90" s="21"/>
      <c r="B90" s="18"/>
      <c r="C90" s="19"/>
      <c r="D90" s="20"/>
      <c r="E90" s="21" t="s">
        <v>112</v>
      </c>
      <c r="F90" s="22">
        <v>6</v>
      </c>
      <c r="G90" s="49"/>
      <c r="H90" s="23">
        <f t="shared" si="1"/>
        <v>0</v>
      </c>
      <c r="I90" s="39"/>
      <c r="J90" s="34"/>
      <c r="K90" s="48"/>
    </row>
    <row r="91" spans="1:11" s="4" customFormat="1" ht="34.5" customHeight="1" x14ac:dyDescent="0.45">
      <c r="A91" s="21"/>
      <c r="B91" s="18"/>
      <c r="C91" s="19"/>
      <c r="D91" s="20"/>
      <c r="E91" s="21" t="s">
        <v>75</v>
      </c>
      <c r="F91" s="22">
        <v>2</v>
      </c>
      <c r="G91" s="49"/>
      <c r="H91" s="23">
        <f t="shared" si="1"/>
        <v>0</v>
      </c>
      <c r="I91" s="39"/>
      <c r="J91" s="34"/>
      <c r="K91" s="48"/>
    </row>
    <row r="92" spans="1:11" s="4" customFormat="1" ht="35.15" customHeight="1" x14ac:dyDescent="0.45">
      <c r="A92" s="21"/>
      <c r="B92" s="18"/>
      <c r="C92" s="19"/>
      <c r="D92" s="20"/>
      <c r="E92" s="21" t="s">
        <v>78</v>
      </c>
      <c r="F92" s="22">
        <v>1</v>
      </c>
      <c r="G92" s="49"/>
      <c r="H92" s="23">
        <f t="shared" ref="H92" si="4">F92*G92</f>
        <v>0</v>
      </c>
      <c r="I92" s="59"/>
      <c r="J92" s="34"/>
    </row>
    <row r="93" spans="1:11" s="4" customFormat="1" ht="34.5" customHeight="1" x14ac:dyDescent="0.45">
      <c r="A93" s="21"/>
      <c r="B93" s="18"/>
      <c r="C93" s="19"/>
      <c r="D93" s="20"/>
      <c r="E93" s="21" t="s">
        <v>79</v>
      </c>
      <c r="F93" s="22">
        <v>11</v>
      </c>
      <c r="G93" s="49"/>
      <c r="H93" s="23">
        <f t="shared" si="1"/>
        <v>0</v>
      </c>
      <c r="I93" s="39"/>
      <c r="J93" s="34">
        <f>SUM(F86:F93)-B86</f>
        <v>-2</v>
      </c>
      <c r="K93" s="48"/>
    </row>
    <row r="94" spans="1:11" s="4" customFormat="1" ht="34.5" customHeight="1" x14ac:dyDescent="0.45">
      <c r="A94" s="21" t="s">
        <v>40</v>
      </c>
      <c r="B94" s="18">
        <v>202</v>
      </c>
      <c r="C94" s="19">
        <v>10.5</v>
      </c>
      <c r="D94" s="20">
        <f t="shared" si="0"/>
        <v>2121</v>
      </c>
      <c r="E94" s="21" t="s">
        <v>63</v>
      </c>
      <c r="F94" s="22">
        <v>1</v>
      </c>
      <c r="G94" s="49"/>
      <c r="H94" s="23">
        <f t="shared" si="1"/>
        <v>0</v>
      </c>
      <c r="I94" s="39"/>
      <c r="J94" s="34"/>
      <c r="K94" s="1"/>
    </row>
    <row r="95" spans="1:11" s="4" customFormat="1" ht="34.5" customHeight="1" x14ac:dyDescent="0.45">
      <c r="A95" s="21"/>
      <c r="B95" s="18"/>
      <c r="C95" s="19"/>
      <c r="D95" s="20"/>
      <c r="E95" s="21" t="s">
        <v>109</v>
      </c>
      <c r="F95" s="22">
        <v>64</v>
      </c>
      <c r="G95" s="49"/>
      <c r="H95" s="23">
        <f t="shared" si="1"/>
        <v>0</v>
      </c>
      <c r="I95" s="61" t="s">
        <v>113</v>
      </c>
      <c r="J95" s="34"/>
      <c r="K95" s="1"/>
    </row>
    <row r="96" spans="1:11" s="4" customFormat="1" ht="34.5" customHeight="1" x14ac:dyDescent="0.45">
      <c r="A96" s="21"/>
      <c r="B96" s="18"/>
      <c r="C96" s="19"/>
      <c r="D96" s="20"/>
      <c r="E96" s="21" t="s">
        <v>75</v>
      </c>
      <c r="F96" s="22">
        <v>6</v>
      </c>
      <c r="G96" s="49"/>
      <c r="H96" s="23">
        <f t="shared" si="1"/>
        <v>0</v>
      </c>
      <c r="I96" s="39"/>
      <c r="J96" s="34"/>
      <c r="K96" s="1"/>
    </row>
    <row r="97" spans="1:11" s="4" customFormat="1" ht="34.5" customHeight="1" x14ac:dyDescent="0.45">
      <c r="A97" s="21"/>
      <c r="B97" s="18"/>
      <c r="C97" s="19"/>
      <c r="D97" s="20"/>
      <c r="E97" s="21" t="s">
        <v>114</v>
      </c>
      <c r="F97" s="22">
        <v>5</v>
      </c>
      <c r="G97" s="49"/>
      <c r="H97" s="23">
        <f t="shared" si="1"/>
        <v>0</v>
      </c>
      <c r="I97" s="39"/>
      <c r="J97" s="34"/>
      <c r="K97" s="1"/>
    </row>
    <row r="98" spans="1:11" s="4" customFormat="1" ht="34.5" customHeight="1" x14ac:dyDescent="0.45">
      <c r="A98" s="21"/>
      <c r="B98" s="18"/>
      <c r="C98" s="19"/>
      <c r="D98" s="20"/>
      <c r="E98" s="21" t="s">
        <v>76</v>
      </c>
      <c r="F98" s="22">
        <v>51</v>
      </c>
      <c r="G98" s="49"/>
      <c r="H98" s="23">
        <f t="shared" si="1"/>
        <v>0</v>
      </c>
      <c r="I98" s="39"/>
      <c r="J98" s="34"/>
      <c r="K98" s="1"/>
    </row>
    <row r="99" spans="1:11" s="4" customFormat="1" ht="34.5" customHeight="1" x14ac:dyDescent="0.45">
      <c r="A99" s="21"/>
      <c r="B99" s="18"/>
      <c r="C99" s="19"/>
      <c r="D99" s="20"/>
      <c r="E99" s="21" t="s">
        <v>76</v>
      </c>
      <c r="F99" s="22">
        <v>22</v>
      </c>
      <c r="G99" s="49"/>
      <c r="H99" s="23">
        <f t="shared" si="1"/>
        <v>0</v>
      </c>
      <c r="I99" s="59" t="s">
        <v>115</v>
      </c>
      <c r="J99" s="34"/>
      <c r="K99" s="1"/>
    </row>
    <row r="100" spans="1:11" s="4" customFormat="1" ht="34.5" customHeight="1" x14ac:dyDescent="0.45">
      <c r="A100" s="21"/>
      <c r="B100" s="18"/>
      <c r="C100" s="19"/>
      <c r="D100" s="20"/>
      <c r="E100" s="21" t="s">
        <v>78</v>
      </c>
      <c r="F100" s="22">
        <v>25</v>
      </c>
      <c r="G100" s="49"/>
      <c r="H100" s="23">
        <f t="shared" si="1"/>
        <v>0</v>
      </c>
      <c r="I100" s="59" t="s">
        <v>116</v>
      </c>
      <c r="J100" s="34"/>
      <c r="K100" s="1"/>
    </row>
    <row r="101" spans="1:11" s="4" customFormat="1" ht="34.5" customHeight="1" x14ac:dyDescent="0.45">
      <c r="A101" s="21"/>
      <c r="B101" s="18"/>
      <c r="C101" s="19"/>
      <c r="D101" s="20"/>
      <c r="E101" s="21" t="s">
        <v>78</v>
      </c>
      <c r="F101" s="22">
        <v>23</v>
      </c>
      <c r="G101" s="49"/>
      <c r="H101" s="23">
        <f t="shared" si="1"/>
        <v>0</v>
      </c>
      <c r="I101" s="39"/>
      <c r="J101" s="34">
        <f>SUM(F94:F101)-B94</f>
        <v>-5</v>
      </c>
      <c r="K101" s="1"/>
    </row>
    <row r="102" spans="1:11" s="4" customFormat="1" ht="34.5" customHeight="1" x14ac:dyDescent="0.45">
      <c r="A102" s="21" t="s">
        <v>41</v>
      </c>
      <c r="B102" s="18">
        <v>1443</v>
      </c>
      <c r="C102" s="19">
        <v>3.3</v>
      </c>
      <c r="D102" s="20">
        <f t="shared" si="0"/>
        <v>4761.8999999999996</v>
      </c>
      <c r="E102" s="21" t="s">
        <v>117</v>
      </c>
      <c r="F102" s="22">
        <v>1456</v>
      </c>
      <c r="G102" s="49"/>
      <c r="H102" s="23">
        <f t="shared" si="1"/>
        <v>0</v>
      </c>
      <c r="I102" s="62" t="s">
        <v>118</v>
      </c>
      <c r="J102" s="34">
        <f>F102-B102</f>
        <v>13</v>
      </c>
      <c r="K102" s="48"/>
    </row>
    <row r="103" spans="1:11" s="4" customFormat="1" ht="34.5" customHeight="1" x14ac:dyDescent="0.45">
      <c r="A103" s="21" t="s">
        <v>42</v>
      </c>
      <c r="B103" s="18">
        <v>2609</v>
      </c>
      <c r="C103" s="19">
        <v>5.2</v>
      </c>
      <c r="D103" s="20">
        <f t="shared" si="0"/>
        <v>13566.800000000001</v>
      </c>
      <c r="E103" s="21" t="s">
        <v>42</v>
      </c>
      <c r="F103" s="22">
        <v>1965</v>
      </c>
      <c r="G103" s="49"/>
      <c r="H103" s="23">
        <f t="shared" si="1"/>
        <v>0</v>
      </c>
      <c r="I103" s="39"/>
      <c r="J103" s="34"/>
    </row>
    <row r="104" spans="1:11" s="4" customFormat="1" ht="34.5" customHeight="1" x14ac:dyDescent="0.45">
      <c r="A104" s="21"/>
      <c r="B104" s="18"/>
      <c r="C104" s="19"/>
      <c r="D104" s="20"/>
      <c r="E104" s="21" t="s">
        <v>51</v>
      </c>
      <c r="F104" s="22">
        <v>640</v>
      </c>
      <c r="G104" s="49"/>
      <c r="H104" s="23">
        <f t="shared" si="1"/>
        <v>0</v>
      </c>
      <c r="I104" s="39"/>
      <c r="J104" s="34">
        <f>SUM(F103:F104)-B103</f>
        <v>-4</v>
      </c>
    </row>
    <row r="105" spans="1:11" s="4" customFormat="1" ht="34.5" customHeight="1" x14ac:dyDescent="0.45">
      <c r="A105" s="21" t="s">
        <v>27</v>
      </c>
      <c r="B105" s="18">
        <v>212</v>
      </c>
      <c r="C105" s="19">
        <v>13</v>
      </c>
      <c r="D105" s="20">
        <f t="shared" si="0"/>
        <v>2756</v>
      </c>
      <c r="E105" s="21" t="s">
        <v>27</v>
      </c>
      <c r="F105" s="22">
        <v>150</v>
      </c>
      <c r="G105" s="49"/>
      <c r="H105" s="23">
        <f t="shared" si="1"/>
        <v>0</v>
      </c>
      <c r="I105" s="39"/>
      <c r="J105" s="34"/>
    </row>
    <row r="106" spans="1:11" s="4" customFormat="1" ht="34.5" customHeight="1" x14ac:dyDescent="0.45">
      <c r="A106" s="21"/>
      <c r="B106" s="18"/>
      <c r="C106" s="19"/>
      <c r="D106" s="20"/>
      <c r="E106" s="21" t="s">
        <v>44</v>
      </c>
      <c r="F106" s="22">
        <v>56</v>
      </c>
      <c r="G106" s="49"/>
      <c r="H106" s="23">
        <f t="shared" si="1"/>
        <v>0</v>
      </c>
      <c r="I106" s="39" t="s">
        <v>50</v>
      </c>
      <c r="J106" s="34">
        <f>SUM(F105:F106)-B105</f>
        <v>-6</v>
      </c>
    </row>
    <row r="107" spans="1:11" s="4" customFormat="1" ht="34.5" customHeight="1" thickBot="1" x14ac:dyDescent="0.5">
      <c r="A107" s="21" t="s">
        <v>23</v>
      </c>
      <c r="B107" s="18">
        <v>35</v>
      </c>
      <c r="C107" s="19">
        <v>2.6</v>
      </c>
      <c r="D107" s="20">
        <f t="shared" si="0"/>
        <v>91</v>
      </c>
      <c r="E107" s="21" t="s">
        <v>23</v>
      </c>
      <c r="F107" s="22">
        <v>36</v>
      </c>
      <c r="G107" s="49"/>
      <c r="H107" s="23">
        <f t="shared" si="1"/>
        <v>0</v>
      </c>
      <c r="I107" s="57" t="s">
        <v>93</v>
      </c>
      <c r="J107" s="34">
        <f>F107-B107</f>
        <v>1</v>
      </c>
    </row>
    <row r="108" spans="1:11" ht="35.15" customHeight="1" thickTop="1" x14ac:dyDescent="0.45">
      <c r="A108" s="24" t="s">
        <v>12</v>
      </c>
      <c r="B108" s="25">
        <f>SUM(B13:B107)</f>
        <v>31496</v>
      </c>
      <c r="C108" s="26"/>
      <c r="D108" s="27">
        <f>SUM(D13:D107)</f>
        <v>326577.60000000003</v>
      </c>
      <c r="E108" s="28" t="s">
        <v>12</v>
      </c>
      <c r="F108" s="29">
        <f>SUM(F13:F107)</f>
        <v>30965</v>
      </c>
      <c r="G108" s="26"/>
      <c r="H108" s="26">
        <f>SUM(H13:H107)</f>
        <v>0</v>
      </c>
      <c r="I108" s="12"/>
      <c r="J108" s="35">
        <f>SUM(J13:J107)</f>
        <v>-531</v>
      </c>
    </row>
    <row r="109" spans="1:11" ht="16.5" customHeight="1" x14ac:dyDescent="0.45">
      <c r="A109" s="4"/>
      <c r="B109" s="5"/>
      <c r="C109" s="6"/>
      <c r="D109" s="7"/>
      <c r="E109" s="4"/>
      <c r="F109" s="5"/>
      <c r="G109" s="6"/>
      <c r="H109" s="6"/>
      <c r="I109" s="15"/>
    </row>
    <row r="111" spans="1:11" ht="35.15" customHeight="1" x14ac:dyDescent="0.45">
      <c r="E111" s="85" t="s">
        <v>3</v>
      </c>
      <c r="F111" s="86"/>
      <c r="G111" s="86"/>
      <c r="H111" s="87">
        <f>H108</f>
        <v>0</v>
      </c>
      <c r="I111" s="88"/>
    </row>
    <row r="112" spans="1:11" ht="35.15" customHeight="1" thickBot="1" x14ac:dyDescent="0.5">
      <c r="E112" s="68" t="s">
        <v>14</v>
      </c>
      <c r="F112" s="69"/>
      <c r="G112" s="69"/>
      <c r="H112" s="70">
        <v>293919.84000000003</v>
      </c>
      <c r="I112" s="71"/>
    </row>
    <row r="113" spans="1:11" ht="35.15" customHeight="1" thickTop="1" x14ac:dyDescent="0.45">
      <c r="E113" s="72" t="s">
        <v>4</v>
      </c>
      <c r="F113" s="73"/>
      <c r="G113" s="73"/>
      <c r="H113" s="74">
        <f>H111-H112</f>
        <v>-293919.84000000003</v>
      </c>
      <c r="I113" s="75"/>
    </row>
    <row r="114" spans="1:11" s="13" customFormat="1" ht="30" customHeight="1" x14ac:dyDescent="0.45">
      <c r="I114" s="42"/>
      <c r="J114" s="1"/>
      <c r="K114" s="36"/>
    </row>
    <row r="115" spans="1:11" ht="99" customHeight="1" x14ac:dyDescent="0.45">
      <c r="A115" s="32" t="s">
        <v>9</v>
      </c>
      <c r="B115" s="76"/>
      <c r="C115" s="76"/>
      <c r="D115" s="76"/>
      <c r="E115" s="14" t="s">
        <v>10</v>
      </c>
      <c r="F115" s="16"/>
      <c r="G115" s="17"/>
      <c r="H115" s="17"/>
      <c r="I115" s="43"/>
    </row>
    <row r="116" spans="1:11" ht="26.15" customHeight="1" x14ac:dyDescent="0.45"/>
    <row r="117" spans="1:11" ht="26.15" customHeight="1" x14ac:dyDescent="0.45"/>
    <row r="118" spans="1:11" ht="26.15" customHeight="1" x14ac:dyDescent="0.45"/>
    <row r="119" spans="1:11" ht="26.15" customHeight="1" x14ac:dyDescent="0.45"/>
    <row r="120" spans="1:11" ht="26.15" customHeight="1" x14ac:dyDescent="0.45"/>
    <row r="121" spans="1:11" ht="26.15" customHeight="1" x14ac:dyDescent="0.45"/>
    <row r="122" spans="1:11" ht="26.15" customHeight="1" x14ac:dyDescent="0.45"/>
    <row r="123" spans="1:11" ht="26.15" customHeight="1" x14ac:dyDescent="0.45"/>
    <row r="124" spans="1:11" ht="26.15" customHeight="1" x14ac:dyDescent="0.45"/>
    <row r="125" spans="1:11" ht="26.15" customHeight="1" x14ac:dyDescent="0.45"/>
    <row r="126" spans="1:11" ht="26.15" customHeight="1" x14ac:dyDescent="0.45">
      <c r="J126" s="4"/>
    </row>
    <row r="127" spans="1:11" ht="26.15" customHeight="1" x14ac:dyDescent="0.45">
      <c r="J127" s="4"/>
    </row>
    <row r="128" spans="1:11" ht="26.15" customHeight="1" x14ac:dyDescent="0.45">
      <c r="J128" s="4"/>
    </row>
    <row r="129" spans="10:10" ht="26.15" customHeight="1" x14ac:dyDescent="0.45">
      <c r="J129" s="4"/>
    </row>
    <row r="130" spans="10:10" ht="26.15" customHeight="1" x14ac:dyDescent="0.45">
      <c r="J130" s="4"/>
    </row>
    <row r="131" spans="10:10" ht="26.15" customHeight="1" x14ac:dyDescent="0.45">
      <c r="J131" s="4"/>
    </row>
    <row r="132" spans="10:10" ht="26.15" customHeight="1" x14ac:dyDescent="0.45"/>
    <row r="133" spans="10:10" ht="26.15" customHeight="1" x14ac:dyDescent="0.45"/>
    <row r="134" spans="10:10" ht="26.15" customHeight="1" x14ac:dyDescent="0.45"/>
    <row r="135" spans="10:10" ht="26.15" customHeight="1" x14ac:dyDescent="0.45"/>
    <row r="136" spans="10:10" ht="26.15" customHeight="1" x14ac:dyDescent="0.45"/>
    <row r="137" spans="10:10" ht="26.15" customHeight="1" x14ac:dyDescent="0.45"/>
    <row r="138" spans="10:10" ht="26.15" customHeight="1" x14ac:dyDescent="0.45"/>
    <row r="139" spans="10:10" ht="26.15" customHeight="1" x14ac:dyDescent="0.45"/>
    <row r="140" spans="10:10" ht="26.15" customHeight="1" x14ac:dyDescent="0.45"/>
    <row r="141" spans="10:10" ht="26.15" customHeight="1" x14ac:dyDescent="0.45"/>
    <row r="142" spans="10:10" ht="26.15" customHeight="1" x14ac:dyDescent="0.45">
      <c r="J142" s="4"/>
    </row>
    <row r="143" spans="10:10" ht="26.15" customHeight="1" x14ac:dyDescent="0.45">
      <c r="J143" s="4"/>
    </row>
    <row r="144" spans="10:10" ht="26.15" customHeight="1" x14ac:dyDescent="0.45"/>
    <row r="145" ht="26.15" customHeight="1" x14ac:dyDescent="0.45"/>
    <row r="146" ht="26.15" customHeight="1" x14ac:dyDescent="0.45"/>
    <row r="147" ht="26.15" customHeight="1" x14ac:dyDescent="0.45"/>
    <row r="148" ht="26.15" customHeight="1" x14ac:dyDescent="0.45"/>
    <row r="149" ht="26.15" customHeight="1" x14ac:dyDescent="0.45"/>
    <row r="150" ht="26.15" customHeight="1" x14ac:dyDescent="0.45"/>
    <row r="151" ht="26.15" customHeight="1" x14ac:dyDescent="0.45"/>
    <row r="152" ht="26.15" customHeight="1" x14ac:dyDescent="0.45"/>
    <row r="153" ht="26.15" customHeight="1" x14ac:dyDescent="0.45"/>
    <row r="154" ht="26.15" customHeight="1" x14ac:dyDescent="0.45"/>
    <row r="155" ht="26.15" customHeight="1" x14ac:dyDescent="0.45"/>
    <row r="156" ht="26.15" customHeight="1" x14ac:dyDescent="0.45"/>
  </sheetData>
  <mergeCells count="11">
    <mergeCell ref="E112:G112"/>
    <mergeCell ref="H112:I112"/>
    <mergeCell ref="E113:G113"/>
    <mergeCell ref="H113:I113"/>
    <mergeCell ref="B115:D115"/>
    <mergeCell ref="A2:D2"/>
    <mergeCell ref="E2:I2"/>
    <mergeCell ref="A11:D11"/>
    <mergeCell ref="E11:I11"/>
    <mergeCell ref="E111:G111"/>
    <mergeCell ref="H111:I111"/>
  </mergeCells>
  <phoneticPr fontId="2" type="noConversion"/>
  <pageMargins left="0.7" right="0.7" top="0.75" bottom="0.75" header="0.3" footer="0.3"/>
  <pageSetup paperSize="9" scale="54" fitToHeight="0" orientation="portrait" r:id="rId1"/>
  <rowBreaks count="1" manualBreakCount="1">
    <brk id="11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F0D7-DC80-472C-9B9E-91C17C4CDD12}">
  <sheetPr>
    <pageSetUpPr fitToPage="1"/>
  </sheetPr>
  <dimension ref="A2:K125"/>
  <sheetViews>
    <sheetView tabSelected="1" topLeftCell="A70" zoomScale="85" zoomScaleNormal="85" workbookViewId="0">
      <selection activeCell="B66" sqref="B66"/>
    </sheetView>
  </sheetViews>
  <sheetFormatPr defaultColWidth="9" defaultRowHeight="14" x14ac:dyDescent="0.45"/>
  <cols>
    <col min="1" max="5" width="16.08203125" style="1" customWidth="1"/>
    <col min="6" max="6" width="15.5" style="1" customWidth="1"/>
    <col min="7" max="8" width="16.08203125" style="1" customWidth="1"/>
    <col min="9" max="9" width="19.58203125" style="2" customWidth="1"/>
    <col min="10" max="10" width="7.58203125" style="1" bestFit="1" customWidth="1"/>
    <col min="11" max="11" width="11.58203125" style="1" bestFit="1" customWidth="1"/>
    <col min="12" max="16384" width="9" style="1"/>
  </cols>
  <sheetData>
    <row r="2" spans="1:10" s="33" customFormat="1" ht="80.150000000000006" customHeight="1" x14ac:dyDescent="0.45">
      <c r="A2" s="77" t="s">
        <v>11</v>
      </c>
      <c r="B2" s="78"/>
      <c r="C2" s="78"/>
      <c r="D2" s="79"/>
      <c r="E2" s="80" t="s">
        <v>18</v>
      </c>
      <c r="F2" s="81"/>
      <c r="G2" s="81"/>
      <c r="H2" s="81"/>
      <c r="I2" s="81"/>
    </row>
    <row r="3" spans="1:10" ht="16.5" customHeight="1" x14ac:dyDescent="0.45">
      <c r="A3" s="2"/>
      <c r="B3" s="2"/>
      <c r="C3" s="2"/>
      <c r="D3" s="2"/>
      <c r="E3" s="2"/>
      <c r="F3" s="2"/>
      <c r="G3" s="2"/>
      <c r="H3" s="2"/>
    </row>
    <row r="5" spans="1:10" s="9" customFormat="1" ht="25" customHeight="1" x14ac:dyDescent="0.45">
      <c r="A5" s="10" t="s">
        <v>0</v>
      </c>
      <c r="B5" s="8" t="s">
        <v>21</v>
      </c>
      <c r="C5" s="8"/>
      <c r="D5" s="8"/>
      <c r="E5" s="8"/>
      <c r="F5" s="8" t="s">
        <v>1</v>
      </c>
      <c r="G5" s="11">
        <v>46185</v>
      </c>
      <c r="I5" s="41"/>
    </row>
    <row r="6" spans="1:10" s="9" customFormat="1" ht="25" customHeight="1" x14ac:dyDescent="0.45">
      <c r="A6" s="8"/>
      <c r="B6" s="8" t="s">
        <v>15</v>
      </c>
      <c r="C6" s="8"/>
      <c r="D6" s="8"/>
      <c r="E6" s="8"/>
      <c r="F6" s="8" t="s">
        <v>13</v>
      </c>
      <c r="G6" s="8" t="s">
        <v>28</v>
      </c>
      <c r="I6" s="41"/>
    </row>
    <row r="7" spans="1:10" s="9" customFormat="1" ht="25" customHeight="1" x14ac:dyDescent="0.45">
      <c r="A7" s="8"/>
      <c r="B7" s="8" t="s">
        <v>16</v>
      </c>
      <c r="C7" s="8"/>
      <c r="D7" s="8"/>
      <c r="E7" s="8"/>
      <c r="F7" s="8" t="s">
        <v>2</v>
      </c>
      <c r="G7" s="8" t="s">
        <v>29</v>
      </c>
      <c r="I7" s="41"/>
    </row>
    <row r="8" spans="1:10" ht="20.149999999999999" customHeight="1" x14ac:dyDescent="0.45">
      <c r="B8" s="1" t="s">
        <v>17</v>
      </c>
      <c r="F8" s="3"/>
    </row>
    <row r="9" spans="1:10" ht="20.149999999999999" customHeight="1" x14ac:dyDescent="0.45">
      <c r="F9" s="3"/>
    </row>
    <row r="10" spans="1:10" ht="14.5" thickBot="1" x14ac:dyDescent="0.5"/>
    <row r="11" spans="1:10" ht="35.15" customHeight="1" thickTop="1" x14ac:dyDescent="0.45">
      <c r="A11" s="82" t="s">
        <v>6</v>
      </c>
      <c r="B11" s="82"/>
      <c r="C11" s="82"/>
      <c r="D11" s="83"/>
      <c r="E11" s="84" t="s">
        <v>5</v>
      </c>
      <c r="F11" s="82"/>
      <c r="G11" s="82"/>
      <c r="H11" s="82"/>
      <c r="I11" s="82"/>
    </row>
    <row r="12" spans="1:10" s="4" customFormat="1" ht="35.15" customHeight="1" x14ac:dyDescent="0.45">
      <c r="A12" s="21" t="s">
        <v>7</v>
      </c>
      <c r="B12" s="21" t="s">
        <v>8</v>
      </c>
      <c r="C12" s="21" t="s">
        <v>20</v>
      </c>
      <c r="D12" s="30" t="s">
        <v>19</v>
      </c>
      <c r="E12" s="31" t="s">
        <v>7</v>
      </c>
      <c r="F12" s="21" t="s">
        <v>8</v>
      </c>
      <c r="G12" s="21" t="s">
        <v>20</v>
      </c>
      <c r="H12" s="21" t="s">
        <v>19</v>
      </c>
      <c r="I12" s="21" t="s">
        <v>22</v>
      </c>
    </row>
    <row r="13" spans="1:10" s="4" customFormat="1" ht="34.5" customHeight="1" x14ac:dyDescent="0.45">
      <c r="A13" s="21" t="s">
        <v>30</v>
      </c>
      <c r="B13" s="18">
        <v>10934</v>
      </c>
      <c r="C13" s="19">
        <v>12</v>
      </c>
      <c r="D13" s="20">
        <f t="shared" ref="D13:D76" si="0">B13*C13</f>
        <v>131208</v>
      </c>
      <c r="E13" s="21" t="s">
        <v>30</v>
      </c>
      <c r="F13" s="22">
        <v>10501</v>
      </c>
      <c r="G13" s="49">
        <v>12</v>
      </c>
      <c r="H13" s="23">
        <f t="shared" ref="H13:H76" si="1">F13*G13</f>
        <v>126012</v>
      </c>
      <c r="I13" s="38"/>
      <c r="J13" s="34"/>
    </row>
    <row r="14" spans="1:10" s="4" customFormat="1" ht="34.5" customHeight="1" x14ac:dyDescent="0.45">
      <c r="A14" s="21"/>
      <c r="B14" s="18"/>
      <c r="C14" s="19"/>
      <c r="D14" s="20"/>
      <c r="E14" s="63" t="s">
        <v>44</v>
      </c>
      <c r="F14" s="22">
        <v>107</v>
      </c>
      <c r="G14" s="49">
        <v>5.5</v>
      </c>
      <c r="H14" s="23">
        <f t="shared" si="1"/>
        <v>588.5</v>
      </c>
      <c r="I14" s="64" t="s">
        <v>45</v>
      </c>
      <c r="J14" s="34"/>
    </row>
    <row r="15" spans="1:10" s="4" customFormat="1" ht="34.5" customHeight="1" x14ac:dyDescent="0.45">
      <c r="A15" s="21"/>
      <c r="B15" s="18"/>
      <c r="C15" s="19"/>
      <c r="D15" s="20"/>
      <c r="E15" s="21" t="s">
        <v>46</v>
      </c>
      <c r="F15" s="22">
        <v>34</v>
      </c>
      <c r="G15" s="49">
        <v>12.6</v>
      </c>
      <c r="H15" s="23">
        <f t="shared" si="1"/>
        <v>428.4</v>
      </c>
      <c r="I15" s="64"/>
      <c r="J15" s="34"/>
    </row>
    <row r="16" spans="1:10" s="4" customFormat="1" ht="34.5" customHeight="1" x14ac:dyDescent="0.45">
      <c r="A16" s="21"/>
      <c r="B16" s="18"/>
      <c r="C16" s="19"/>
      <c r="D16" s="20"/>
      <c r="E16" s="21" t="s">
        <v>47</v>
      </c>
      <c r="F16" s="22">
        <v>12</v>
      </c>
      <c r="G16" s="49">
        <v>8.5</v>
      </c>
      <c r="H16" s="23">
        <f t="shared" si="1"/>
        <v>102</v>
      </c>
      <c r="I16" s="64"/>
      <c r="J16" s="34"/>
    </row>
    <row r="17" spans="1:11" s="4" customFormat="1" ht="34.5" customHeight="1" x14ac:dyDescent="0.45">
      <c r="A17" s="21"/>
      <c r="B17" s="18"/>
      <c r="C17" s="19"/>
      <c r="D17" s="20"/>
      <c r="E17" s="21" t="s">
        <v>49</v>
      </c>
      <c r="F17" s="22">
        <v>2</v>
      </c>
      <c r="G17" s="49"/>
      <c r="H17" s="23"/>
      <c r="I17" s="64"/>
      <c r="J17" s="34">
        <f>SUM(F13:F17)-B13</f>
        <v>-278</v>
      </c>
    </row>
    <row r="18" spans="1:11" s="4" customFormat="1" ht="34.5" customHeight="1" x14ac:dyDescent="0.45">
      <c r="A18" s="21" t="s">
        <v>32</v>
      </c>
      <c r="B18" s="18">
        <v>1551</v>
      </c>
      <c r="C18" s="19">
        <v>12.6</v>
      </c>
      <c r="D18" s="20">
        <f t="shared" si="0"/>
        <v>19542.599999999999</v>
      </c>
      <c r="E18" s="21" t="s">
        <v>32</v>
      </c>
      <c r="F18" s="22">
        <v>754</v>
      </c>
      <c r="G18" s="49">
        <v>12.6</v>
      </c>
      <c r="H18" s="23">
        <f t="shared" si="1"/>
        <v>9500.4</v>
      </c>
      <c r="I18" s="64"/>
      <c r="J18" s="34"/>
      <c r="K18" s="37"/>
    </row>
    <row r="19" spans="1:11" s="4" customFormat="1" ht="34.5" customHeight="1" x14ac:dyDescent="0.45">
      <c r="A19" s="21"/>
      <c r="B19" s="18"/>
      <c r="C19" s="19"/>
      <c r="D19" s="20"/>
      <c r="E19" s="63" t="s">
        <v>31</v>
      </c>
      <c r="F19" s="22">
        <v>530</v>
      </c>
      <c r="G19" s="49">
        <v>8.8000000000000007</v>
      </c>
      <c r="H19" s="23">
        <f t="shared" si="1"/>
        <v>4664</v>
      </c>
      <c r="I19" s="64" t="s">
        <v>121</v>
      </c>
      <c r="J19" s="34"/>
      <c r="K19" s="37"/>
    </row>
    <row r="20" spans="1:11" s="4" customFormat="1" ht="34.5" customHeight="1" x14ac:dyDescent="0.45">
      <c r="A20" s="21"/>
      <c r="B20" s="18"/>
      <c r="C20" s="19"/>
      <c r="D20" s="20"/>
      <c r="E20" s="63" t="s">
        <v>31</v>
      </c>
      <c r="F20" s="22">
        <v>103</v>
      </c>
      <c r="G20" s="49">
        <v>8.8000000000000007</v>
      </c>
      <c r="H20" s="23">
        <f t="shared" si="1"/>
        <v>906.40000000000009</v>
      </c>
      <c r="I20" s="64" t="s">
        <v>119</v>
      </c>
      <c r="J20" s="34"/>
      <c r="K20" s="37"/>
    </row>
    <row r="21" spans="1:11" s="4" customFormat="1" ht="34.5" customHeight="1" x14ac:dyDescent="0.45">
      <c r="A21" s="21"/>
      <c r="B21" s="18"/>
      <c r="C21" s="19"/>
      <c r="D21" s="20"/>
      <c r="E21" s="63" t="s">
        <v>58</v>
      </c>
      <c r="F21" s="22">
        <v>38</v>
      </c>
      <c r="G21" s="49">
        <v>4.5</v>
      </c>
      <c r="H21" s="23">
        <f t="shared" si="1"/>
        <v>171</v>
      </c>
      <c r="I21" s="64" t="s">
        <v>120</v>
      </c>
      <c r="J21" s="34"/>
      <c r="K21" s="37"/>
    </row>
    <row r="22" spans="1:11" s="4" customFormat="1" ht="34.5" customHeight="1" x14ac:dyDescent="0.45">
      <c r="A22" s="21"/>
      <c r="B22" s="18"/>
      <c r="C22" s="19"/>
      <c r="D22" s="20"/>
      <c r="E22" s="63" t="s">
        <v>60</v>
      </c>
      <c r="F22" s="22">
        <v>60</v>
      </c>
      <c r="G22" s="49">
        <v>6.5</v>
      </c>
      <c r="H22" s="23">
        <f t="shared" si="1"/>
        <v>390</v>
      </c>
      <c r="I22" s="65"/>
      <c r="J22" s="34">
        <f>SUM(F18:F22)-B18</f>
        <v>-66</v>
      </c>
      <c r="K22" s="37"/>
    </row>
    <row r="23" spans="1:11" s="4" customFormat="1" ht="34.5" customHeight="1" x14ac:dyDescent="0.45">
      <c r="A23" s="21" t="s">
        <v>31</v>
      </c>
      <c r="B23" s="18">
        <v>2511</v>
      </c>
      <c r="C23" s="19">
        <v>8.8000000000000007</v>
      </c>
      <c r="D23" s="20">
        <f t="shared" si="0"/>
        <v>22096.800000000003</v>
      </c>
      <c r="E23" s="21" t="s">
        <v>31</v>
      </c>
      <c r="F23" s="22">
        <v>2408</v>
      </c>
      <c r="G23" s="49">
        <v>8.8000000000000007</v>
      </c>
      <c r="H23" s="23">
        <f t="shared" si="1"/>
        <v>21190.400000000001</v>
      </c>
      <c r="I23" s="38"/>
      <c r="J23" s="34"/>
    </row>
    <row r="24" spans="1:11" s="4" customFormat="1" ht="34.5" customHeight="1" x14ac:dyDescent="0.45">
      <c r="A24" s="21"/>
      <c r="B24" s="18"/>
      <c r="C24" s="19"/>
      <c r="D24" s="20"/>
      <c r="E24" s="21" t="s">
        <v>32</v>
      </c>
      <c r="F24" s="22">
        <v>99</v>
      </c>
      <c r="G24" s="49">
        <v>12.6</v>
      </c>
      <c r="H24" s="23">
        <f t="shared" si="1"/>
        <v>1247.3999999999999</v>
      </c>
      <c r="I24" s="40"/>
      <c r="J24" s="34">
        <f>SUM(F23:F24)-B23</f>
        <v>-4</v>
      </c>
    </row>
    <row r="25" spans="1:11" s="4" customFormat="1" ht="34.5" customHeight="1" x14ac:dyDescent="0.45">
      <c r="A25" s="21" t="s">
        <v>34</v>
      </c>
      <c r="B25" s="18">
        <v>244</v>
      </c>
      <c r="C25" s="19">
        <v>12</v>
      </c>
      <c r="D25" s="20">
        <f t="shared" si="0"/>
        <v>2928</v>
      </c>
      <c r="E25" s="21" t="s">
        <v>63</v>
      </c>
      <c r="F25" s="22">
        <v>1</v>
      </c>
      <c r="G25" s="49">
        <v>12</v>
      </c>
      <c r="H25" s="23">
        <f t="shared" si="1"/>
        <v>12</v>
      </c>
      <c r="I25" s="38"/>
      <c r="J25" s="34"/>
    </row>
    <row r="26" spans="1:11" s="4" customFormat="1" ht="34.5" customHeight="1" x14ac:dyDescent="0.45">
      <c r="A26" s="21"/>
      <c r="B26" s="18"/>
      <c r="C26" s="19"/>
      <c r="D26" s="20"/>
      <c r="E26" s="21" t="s">
        <v>64</v>
      </c>
      <c r="F26" s="22">
        <v>1</v>
      </c>
      <c r="G26" s="49">
        <v>12</v>
      </c>
      <c r="H26" s="23">
        <f t="shared" si="1"/>
        <v>12</v>
      </c>
      <c r="I26" s="38"/>
      <c r="J26" s="34"/>
    </row>
    <row r="27" spans="1:11" s="4" customFormat="1" ht="34.5" customHeight="1" x14ac:dyDescent="0.45">
      <c r="A27" s="21"/>
      <c r="B27" s="18"/>
      <c r="C27" s="19"/>
      <c r="D27" s="20"/>
      <c r="E27" s="21" t="s">
        <v>66</v>
      </c>
      <c r="F27" s="22">
        <v>1</v>
      </c>
      <c r="G27" s="49">
        <v>12</v>
      </c>
      <c r="H27" s="23">
        <f t="shared" si="1"/>
        <v>12</v>
      </c>
      <c r="I27" s="38"/>
      <c r="J27" s="34"/>
    </row>
    <row r="28" spans="1:11" s="4" customFormat="1" ht="34.5" customHeight="1" x14ac:dyDescent="0.45">
      <c r="A28" s="21"/>
      <c r="B28" s="18"/>
      <c r="C28" s="19"/>
      <c r="D28" s="20"/>
      <c r="E28" s="21" t="s">
        <v>68</v>
      </c>
      <c r="F28" s="22">
        <v>9</v>
      </c>
      <c r="G28" s="49">
        <v>12</v>
      </c>
      <c r="H28" s="23">
        <f t="shared" si="1"/>
        <v>108</v>
      </c>
      <c r="I28" s="38"/>
      <c r="J28" s="34"/>
    </row>
    <row r="29" spans="1:11" s="4" customFormat="1" ht="34.5" customHeight="1" x14ac:dyDescent="0.45">
      <c r="A29" s="21"/>
      <c r="B29" s="18"/>
      <c r="C29" s="19"/>
      <c r="D29" s="20"/>
      <c r="E29" s="21" t="s">
        <v>67</v>
      </c>
      <c r="F29" s="22">
        <v>1</v>
      </c>
      <c r="G29" s="49">
        <v>12</v>
      </c>
      <c r="H29" s="23">
        <f t="shared" si="1"/>
        <v>12</v>
      </c>
      <c r="I29" s="38"/>
      <c r="J29" s="34"/>
    </row>
    <row r="30" spans="1:11" s="4" customFormat="1" ht="34.5" customHeight="1" x14ac:dyDescent="0.45">
      <c r="A30" s="21"/>
      <c r="B30" s="18"/>
      <c r="C30" s="19"/>
      <c r="D30" s="20"/>
      <c r="E30" s="21" t="s">
        <v>71</v>
      </c>
      <c r="F30" s="22">
        <v>6</v>
      </c>
      <c r="G30" s="49">
        <v>12</v>
      </c>
      <c r="H30" s="23">
        <f t="shared" si="1"/>
        <v>72</v>
      </c>
      <c r="I30" s="39"/>
      <c r="J30" s="34"/>
    </row>
    <row r="31" spans="1:11" s="4" customFormat="1" ht="34.5" customHeight="1" x14ac:dyDescent="0.45">
      <c r="A31" s="21"/>
      <c r="B31" s="18"/>
      <c r="C31" s="19"/>
      <c r="D31" s="20"/>
      <c r="E31" s="21" t="s">
        <v>73</v>
      </c>
      <c r="F31" s="22">
        <v>1</v>
      </c>
      <c r="G31" s="49">
        <v>12</v>
      </c>
      <c r="H31" s="23">
        <f t="shared" si="1"/>
        <v>12</v>
      </c>
      <c r="I31" s="38"/>
      <c r="J31" s="34"/>
    </row>
    <row r="32" spans="1:11" s="4" customFormat="1" ht="34.5" customHeight="1" x14ac:dyDescent="0.45">
      <c r="A32" s="21"/>
      <c r="B32" s="18"/>
      <c r="C32" s="19"/>
      <c r="D32" s="20"/>
      <c r="E32" s="21" t="s">
        <v>75</v>
      </c>
      <c r="F32" s="22">
        <v>1</v>
      </c>
      <c r="G32" s="49">
        <v>12</v>
      </c>
      <c r="H32" s="23">
        <f t="shared" si="1"/>
        <v>12</v>
      </c>
      <c r="I32" s="38"/>
      <c r="J32" s="34"/>
    </row>
    <row r="33" spans="1:11" s="4" customFormat="1" ht="34.5" customHeight="1" x14ac:dyDescent="0.45">
      <c r="A33" s="21"/>
      <c r="B33" s="18"/>
      <c r="C33" s="19"/>
      <c r="D33" s="20"/>
      <c r="E33" s="21" t="s">
        <v>76</v>
      </c>
      <c r="F33" s="22">
        <v>227</v>
      </c>
      <c r="G33" s="49">
        <v>12</v>
      </c>
      <c r="H33" s="23">
        <f t="shared" si="1"/>
        <v>2724</v>
      </c>
      <c r="I33" s="38"/>
      <c r="J33" s="34"/>
    </row>
    <row r="34" spans="1:11" s="4" customFormat="1" ht="34.5" customHeight="1" x14ac:dyDescent="0.45">
      <c r="A34" s="21"/>
      <c r="B34" s="18"/>
      <c r="C34" s="19"/>
      <c r="D34" s="20"/>
      <c r="E34" s="21" t="s">
        <v>78</v>
      </c>
      <c r="F34" s="22">
        <v>2</v>
      </c>
      <c r="G34" s="49">
        <v>12</v>
      </c>
      <c r="H34" s="23">
        <f t="shared" si="1"/>
        <v>24</v>
      </c>
      <c r="I34" s="38"/>
      <c r="J34" s="34"/>
    </row>
    <row r="35" spans="1:11" s="4" customFormat="1" ht="34.5" customHeight="1" x14ac:dyDescent="0.45">
      <c r="A35" s="21"/>
      <c r="B35" s="18"/>
      <c r="C35" s="19"/>
      <c r="D35" s="20"/>
      <c r="E35" s="21" t="s">
        <v>79</v>
      </c>
      <c r="F35" s="22">
        <v>4</v>
      </c>
      <c r="G35" s="49">
        <v>12</v>
      </c>
      <c r="H35" s="23">
        <f t="shared" si="1"/>
        <v>48</v>
      </c>
      <c r="I35" s="38"/>
      <c r="J35" s="34">
        <f>SUM(F25:F35)-B25</f>
        <v>10</v>
      </c>
    </row>
    <row r="36" spans="1:11" s="4" customFormat="1" ht="34.5" customHeight="1" x14ac:dyDescent="0.45">
      <c r="A36" s="21" t="s">
        <v>33</v>
      </c>
      <c r="B36" s="18">
        <v>4731</v>
      </c>
      <c r="C36" s="19">
        <v>11.2</v>
      </c>
      <c r="D36" s="20">
        <f t="shared" si="0"/>
        <v>52987.199999999997</v>
      </c>
      <c r="E36" s="21" t="s">
        <v>33</v>
      </c>
      <c r="F36" s="22">
        <v>2762</v>
      </c>
      <c r="G36" s="49">
        <v>11.2</v>
      </c>
      <c r="H36" s="23">
        <f>F36*G36</f>
        <v>30934.399999999998</v>
      </c>
      <c r="I36" s="38"/>
      <c r="J36" s="34"/>
      <c r="K36" s="45"/>
    </row>
    <row r="37" spans="1:11" s="4" customFormat="1" ht="56.25" customHeight="1" x14ac:dyDescent="0.45">
      <c r="A37" s="21"/>
      <c r="B37" s="18"/>
      <c r="C37" s="19"/>
      <c r="D37" s="20"/>
      <c r="E37" s="63" t="s">
        <v>52</v>
      </c>
      <c r="F37" s="22">
        <v>1779</v>
      </c>
      <c r="G37" s="49">
        <v>6</v>
      </c>
      <c r="H37" s="23">
        <f t="shared" ref="H37:H38" si="2">F37*G37</f>
        <v>10674</v>
      </c>
      <c r="I37" s="64" t="s">
        <v>128</v>
      </c>
      <c r="J37" s="34">
        <f>F36+F37-B36</f>
        <v>-190</v>
      </c>
      <c r="K37" s="45"/>
    </row>
    <row r="38" spans="1:11" s="4" customFormat="1" ht="63" customHeight="1" x14ac:dyDescent="0.45">
      <c r="A38" s="21" t="s">
        <v>35</v>
      </c>
      <c r="B38" s="18">
        <v>1609</v>
      </c>
      <c r="C38" s="19">
        <v>6</v>
      </c>
      <c r="D38" s="20">
        <f>B38*C38</f>
        <v>9654</v>
      </c>
      <c r="E38" s="21" t="s">
        <v>52</v>
      </c>
      <c r="F38" s="22">
        <v>1609</v>
      </c>
      <c r="G38" s="49">
        <v>6</v>
      </c>
      <c r="H38" s="23">
        <f t="shared" si="2"/>
        <v>9654</v>
      </c>
      <c r="I38" s="64" t="s">
        <v>128</v>
      </c>
      <c r="J38" s="34">
        <f>F38-B38</f>
        <v>0</v>
      </c>
      <c r="K38" s="47"/>
    </row>
    <row r="39" spans="1:11" s="4" customFormat="1" ht="34.5" customHeight="1" x14ac:dyDescent="0.45">
      <c r="A39" s="21" t="s">
        <v>43</v>
      </c>
      <c r="B39" s="18">
        <v>481</v>
      </c>
      <c r="C39" s="19">
        <v>0.1</v>
      </c>
      <c r="D39" s="20">
        <f t="shared" si="0"/>
        <v>48.1</v>
      </c>
      <c r="E39" s="21" t="str">
        <f>A39</f>
        <v>Ni Powder</v>
      </c>
      <c r="F39" s="22">
        <v>478</v>
      </c>
      <c r="G39" s="49">
        <v>0.1</v>
      </c>
      <c r="H39" s="23">
        <f>F39*G39</f>
        <v>47.800000000000004</v>
      </c>
      <c r="I39" s="64"/>
      <c r="J39" s="34">
        <f>F39-B39</f>
        <v>-3</v>
      </c>
      <c r="K39" s="47"/>
    </row>
    <row r="40" spans="1:11" s="4" customFormat="1" ht="34.5" customHeight="1" x14ac:dyDescent="0.45">
      <c r="A40" s="21" t="s">
        <v>24</v>
      </c>
      <c r="B40" s="18">
        <v>295</v>
      </c>
      <c r="C40" s="19">
        <v>13.6</v>
      </c>
      <c r="D40" s="20">
        <f t="shared" si="0"/>
        <v>4012</v>
      </c>
      <c r="E40" s="21" t="s">
        <v>24</v>
      </c>
      <c r="F40" s="22">
        <v>146</v>
      </c>
      <c r="G40" s="49">
        <v>13.6</v>
      </c>
      <c r="H40" s="23">
        <f t="shared" ref="H40:H52" si="3">F40*G40</f>
        <v>1985.6</v>
      </c>
      <c r="I40" s="64"/>
      <c r="J40" s="34"/>
      <c r="K40" s="1"/>
    </row>
    <row r="41" spans="1:11" s="4" customFormat="1" ht="34.5" customHeight="1" x14ac:dyDescent="0.45">
      <c r="A41" s="21"/>
      <c r="B41" s="18"/>
      <c r="C41" s="19"/>
      <c r="D41" s="20"/>
      <c r="E41" s="21" t="s">
        <v>25</v>
      </c>
      <c r="F41" s="22">
        <v>35</v>
      </c>
      <c r="G41" s="49">
        <v>14.2</v>
      </c>
      <c r="H41" s="23">
        <f t="shared" si="3"/>
        <v>497</v>
      </c>
      <c r="I41" s="64"/>
      <c r="J41" s="34"/>
      <c r="K41" s="1"/>
    </row>
    <row r="42" spans="1:11" s="4" customFormat="1" ht="34.5" customHeight="1" x14ac:dyDescent="0.45">
      <c r="A42" s="21"/>
      <c r="B42" s="18"/>
      <c r="C42" s="19"/>
      <c r="D42" s="20"/>
      <c r="E42" s="21" t="s">
        <v>57</v>
      </c>
      <c r="F42" s="22">
        <v>1</v>
      </c>
      <c r="G42" s="49">
        <v>10</v>
      </c>
      <c r="H42" s="23">
        <f t="shared" si="3"/>
        <v>10</v>
      </c>
      <c r="I42" s="64"/>
      <c r="J42" s="34"/>
      <c r="K42" s="1"/>
    </row>
    <row r="43" spans="1:11" s="4" customFormat="1" ht="34.5" customHeight="1" x14ac:dyDescent="0.45">
      <c r="A43" s="21"/>
      <c r="B43" s="18"/>
      <c r="C43" s="19"/>
      <c r="D43" s="20"/>
      <c r="E43" s="21" t="s">
        <v>81</v>
      </c>
      <c r="F43" s="22">
        <v>1</v>
      </c>
      <c r="G43" s="49">
        <v>10</v>
      </c>
      <c r="H43" s="23">
        <f t="shared" si="3"/>
        <v>10</v>
      </c>
      <c r="I43" s="64"/>
      <c r="J43" s="34"/>
      <c r="K43" s="1"/>
    </row>
    <row r="44" spans="1:11" s="4" customFormat="1" ht="34.5" customHeight="1" x14ac:dyDescent="0.45">
      <c r="A44" s="21"/>
      <c r="B44" s="18"/>
      <c r="C44" s="19"/>
      <c r="D44" s="20"/>
      <c r="E44" s="21" t="s">
        <v>36</v>
      </c>
      <c r="F44" s="22">
        <v>1</v>
      </c>
      <c r="G44" s="49">
        <v>10</v>
      </c>
      <c r="H44" s="23">
        <f t="shared" si="3"/>
        <v>10</v>
      </c>
      <c r="I44" s="64"/>
      <c r="J44" s="34"/>
      <c r="K44" s="1"/>
    </row>
    <row r="45" spans="1:11" s="4" customFormat="1" ht="34.5" customHeight="1" x14ac:dyDescent="0.45">
      <c r="A45" s="21"/>
      <c r="B45" s="18"/>
      <c r="C45" s="19"/>
      <c r="D45" s="20"/>
      <c r="E45" s="21" t="s">
        <v>86</v>
      </c>
      <c r="F45" s="22">
        <v>16</v>
      </c>
      <c r="G45" s="49">
        <v>6</v>
      </c>
      <c r="H45" s="23">
        <f t="shared" si="3"/>
        <v>96</v>
      </c>
      <c r="I45" s="64" t="s">
        <v>129</v>
      </c>
      <c r="J45" s="34"/>
      <c r="K45" s="1"/>
    </row>
    <row r="46" spans="1:11" s="4" customFormat="1" ht="34.5" customHeight="1" x14ac:dyDescent="0.45">
      <c r="A46" s="21"/>
      <c r="B46" s="18"/>
      <c r="C46" s="19"/>
      <c r="D46" s="20"/>
      <c r="E46" s="21" t="s">
        <v>82</v>
      </c>
      <c r="F46" s="22">
        <v>12</v>
      </c>
      <c r="G46" s="49">
        <v>3</v>
      </c>
      <c r="H46" s="23">
        <f t="shared" si="3"/>
        <v>36</v>
      </c>
      <c r="I46" s="65" t="s">
        <v>122</v>
      </c>
      <c r="J46" s="34"/>
      <c r="K46" s="1"/>
    </row>
    <row r="47" spans="1:11" s="4" customFormat="1" ht="34.5" customHeight="1" x14ac:dyDescent="0.45">
      <c r="A47" s="21"/>
      <c r="B47" s="18"/>
      <c r="C47" s="19"/>
      <c r="D47" s="20"/>
      <c r="E47" s="21" t="s">
        <v>82</v>
      </c>
      <c r="F47" s="22">
        <v>7</v>
      </c>
      <c r="G47" s="49">
        <v>3</v>
      </c>
      <c r="H47" s="23">
        <f t="shared" si="3"/>
        <v>21</v>
      </c>
      <c r="I47" s="64" t="s">
        <v>123</v>
      </c>
      <c r="J47" s="34"/>
      <c r="K47" s="1"/>
    </row>
    <row r="48" spans="1:11" s="4" customFormat="1" ht="34.5" customHeight="1" x14ac:dyDescent="0.45">
      <c r="A48" s="21"/>
      <c r="B48" s="18"/>
      <c r="C48" s="19"/>
      <c r="D48" s="20"/>
      <c r="E48" s="21" t="s">
        <v>82</v>
      </c>
      <c r="F48" s="22">
        <v>25</v>
      </c>
      <c r="G48" s="49">
        <v>3</v>
      </c>
      <c r="H48" s="23">
        <f t="shared" si="3"/>
        <v>75</v>
      </c>
      <c r="I48" s="64" t="s">
        <v>124</v>
      </c>
      <c r="J48" s="34"/>
      <c r="K48" s="1"/>
    </row>
    <row r="49" spans="1:11" s="4" customFormat="1" ht="34.5" customHeight="1" x14ac:dyDescent="0.45">
      <c r="A49" s="21"/>
      <c r="B49" s="18"/>
      <c r="C49" s="19"/>
      <c r="D49" s="20"/>
      <c r="E49" s="21" t="s">
        <v>88</v>
      </c>
      <c r="F49" s="22">
        <v>18</v>
      </c>
      <c r="G49" s="49">
        <v>1.5</v>
      </c>
      <c r="H49" s="23">
        <f t="shared" si="3"/>
        <v>27</v>
      </c>
      <c r="I49" s="64" t="s">
        <v>125</v>
      </c>
      <c r="J49" s="34"/>
      <c r="K49" s="1"/>
    </row>
    <row r="50" spans="1:11" s="4" customFormat="1" ht="34.5" customHeight="1" x14ac:dyDescent="0.45">
      <c r="A50" s="21"/>
      <c r="B50" s="18"/>
      <c r="C50" s="19"/>
      <c r="D50" s="20"/>
      <c r="E50" s="21" t="s">
        <v>88</v>
      </c>
      <c r="F50" s="22">
        <v>5</v>
      </c>
      <c r="G50" s="49">
        <v>1.5</v>
      </c>
      <c r="H50" s="23">
        <f t="shared" si="3"/>
        <v>7.5</v>
      </c>
      <c r="I50" s="64" t="s">
        <v>126</v>
      </c>
      <c r="J50" s="34"/>
      <c r="K50" s="1"/>
    </row>
    <row r="51" spans="1:11" s="4" customFormat="1" ht="34.5" customHeight="1" x14ac:dyDescent="0.45">
      <c r="A51" s="21"/>
      <c r="B51" s="18"/>
      <c r="C51" s="19"/>
      <c r="D51" s="20"/>
      <c r="E51" s="21" t="s">
        <v>91</v>
      </c>
      <c r="F51" s="22">
        <v>7</v>
      </c>
      <c r="G51" s="49">
        <v>1.2</v>
      </c>
      <c r="H51" s="23">
        <f t="shared" si="3"/>
        <v>8.4</v>
      </c>
      <c r="I51" s="64"/>
      <c r="J51" s="34"/>
      <c r="K51" s="1"/>
    </row>
    <row r="52" spans="1:11" s="4" customFormat="1" ht="34.5" customHeight="1" x14ac:dyDescent="0.45">
      <c r="A52" s="21"/>
      <c r="B52" s="18"/>
      <c r="C52" s="19"/>
      <c r="D52" s="20"/>
      <c r="E52" s="21" t="s">
        <v>92</v>
      </c>
      <c r="F52" s="22">
        <v>8</v>
      </c>
      <c r="G52" s="49">
        <v>2.2000000000000002</v>
      </c>
      <c r="H52" s="23">
        <f t="shared" si="3"/>
        <v>17.600000000000001</v>
      </c>
      <c r="I52" s="64"/>
      <c r="J52" s="34">
        <f>SUM(F40:F52)-B40</f>
        <v>-13</v>
      </c>
      <c r="K52" s="1"/>
    </row>
    <row r="53" spans="1:11" s="4" customFormat="1" ht="34.5" customHeight="1" x14ac:dyDescent="0.45">
      <c r="A53" s="21" t="s">
        <v>26</v>
      </c>
      <c r="B53" s="18">
        <v>2532</v>
      </c>
      <c r="C53" s="19">
        <v>13.1</v>
      </c>
      <c r="D53" s="20">
        <f t="shared" si="0"/>
        <v>33169.199999999997</v>
      </c>
      <c r="E53" s="21" t="s">
        <v>26</v>
      </c>
      <c r="F53" s="22">
        <v>2469</v>
      </c>
      <c r="G53" s="49">
        <v>13.1</v>
      </c>
      <c r="H53" s="23">
        <f t="shared" si="1"/>
        <v>32343.899999999998</v>
      </c>
      <c r="I53" s="64"/>
      <c r="J53" s="34"/>
      <c r="K53" s="1"/>
    </row>
    <row r="54" spans="1:11" s="4" customFormat="1" ht="34.5" customHeight="1" x14ac:dyDescent="0.45">
      <c r="A54" s="21"/>
      <c r="B54" s="18"/>
      <c r="C54" s="19"/>
      <c r="D54" s="20"/>
      <c r="E54" s="21" t="s">
        <v>49</v>
      </c>
      <c r="F54" s="22">
        <v>10</v>
      </c>
      <c r="G54" s="49"/>
      <c r="H54" s="23">
        <f t="shared" si="1"/>
        <v>0</v>
      </c>
      <c r="I54" s="64"/>
      <c r="J54" s="34">
        <f>SUM(F53:F54)-B53</f>
        <v>-53</v>
      </c>
      <c r="K54" s="1"/>
    </row>
    <row r="55" spans="1:11" s="4" customFormat="1" ht="34.5" customHeight="1" x14ac:dyDescent="0.45">
      <c r="A55" s="21" t="s">
        <v>25</v>
      </c>
      <c r="B55" s="18">
        <v>287</v>
      </c>
      <c r="C55" s="19">
        <v>14.2</v>
      </c>
      <c r="D55" s="20">
        <f t="shared" si="0"/>
        <v>4075.3999999999996</v>
      </c>
      <c r="E55" s="21" t="s">
        <v>25</v>
      </c>
      <c r="F55" s="22">
        <v>270</v>
      </c>
      <c r="G55" s="49">
        <v>14.2</v>
      </c>
      <c r="H55" s="23">
        <f t="shared" si="1"/>
        <v>3834</v>
      </c>
      <c r="I55" s="64"/>
      <c r="J55" s="34"/>
      <c r="K55" s="46"/>
    </row>
    <row r="56" spans="1:11" s="4" customFormat="1" ht="34.5" customHeight="1" x14ac:dyDescent="0.45">
      <c r="A56" s="21"/>
      <c r="B56" s="18"/>
      <c r="C56" s="19"/>
      <c r="D56" s="20"/>
      <c r="E56" s="21" t="s">
        <v>24</v>
      </c>
      <c r="F56" s="22">
        <v>40</v>
      </c>
      <c r="G56" s="49">
        <v>13.6</v>
      </c>
      <c r="H56" s="23">
        <f t="shared" si="1"/>
        <v>544</v>
      </c>
      <c r="I56" s="64"/>
      <c r="J56" s="34"/>
      <c r="K56" s="46"/>
    </row>
    <row r="57" spans="1:11" s="4" customFormat="1" ht="34.5" customHeight="1" x14ac:dyDescent="0.45">
      <c r="A57" s="21"/>
      <c r="B57" s="18"/>
      <c r="C57" s="19"/>
      <c r="D57" s="20"/>
      <c r="E57" s="21" t="s">
        <v>94</v>
      </c>
      <c r="F57" s="22">
        <v>52</v>
      </c>
      <c r="G57" s="49">
        <v>6</v>
      </c>
      <c r="H57" s="23">
        <f t="shared" si="1"/>
        <v>312</v>
      </c>
      <c r="I57" s="64" t="s">
        <v>127</v>
      </c>
      <c r="J57" s="34">
        <f>SUM(F55:F57)-B55</f>
        <v>75</v>
      </c>
      <c r="K57" s="46"/>
    </row>
    <row r="58" spans="1:11" s="4" customFormat="1" ht="34.5" customHeight="1" x14ac:dyDescent="0.45">
      <c r="A58" s="21" t="s">
        <v>36</v>
      </c>
      <c r="B58" s="18">
        <v>1171</v>
      </c>
      <c r="C58" s="19">
        <v>13.6</v>
      </c>
      <c r="D58" s="20">
        <f t="shared" si="0"/>
        <v>15925.6</v>
      </c>
      <c r="E58" s="21" t="str">
        <f>A58</f>
        <v>625 Solid</v>
      </c>
      <c r="F58" s="22">
        <v>1144</v>
      </c>
      <c r="G58" s="49">
        <v>13.6</v>
      </c>
      <c r="H58" s="23">
        <f t="shared" si="1"/>
        <v>15558.4</v>
      </c>
      <c r="I58" s="64"/>
      <c r="J58" s="34"/>
      <c r="K58" s="1"/>
    </row>
    <row r="59" spans="1:11" s="4" customFormat="1" ht="34.5" customHeight="1" x14ac:dyDescent="0.45">
      <c r="A59" s="21"/>
      <c r="B59" s="18"/>
      <c r="C59" s="19"/>
      <c r="D59" s="20"/>
      <c r="E59" s="21" t="s">
        <v>34</v>
      </c>
      <c r="F59" s="22">
        <v>18</v>
      </c>
      <c r="G59" s="49">
        <v>12</v>
      </c>
      <c r="H59" s="23">
        <f t="shared" si="1"/>
        <v>216</v>
      </c>
      <c r="I59" s="64"/>
      <c r="J59" s="34">
        <f>F58+F59-B58</f>
        <v>-9</v>
      </c>
      <c r="K59" s="1"/>
    </row>
    <row r="60" spans="1:11" s="4" customFormat="1" ht="34.5" customHeight="1" x14ac:dyDescent="0.45">
      <c r="A60" s="21" t="s">
        <v>37</v>
      </c>
      <c r="B60" s="18">
        <v>95</v>
      </c>
      <c r="C60" s="19">
        <v>12</v>
      </c>
      <c r="D60" s="20">
        <f t="shared" si="0"/>
        <v>1140</v>
      </c>
      <c r="E60" s="21" t="s">
        <v>37</v>
      </c>
      <c r="F60" s="22">
        <v>92</v>
      </c>
      <c r="G60" s="49">
        <v>12</v>
      </c>
      <c r="H60" s="23">
        <f t="shared" si="1"/>
        <v>1104</v>
      </c>
      <c r="I60" s="64"/>
      <c r="J60" s="34">
        <f>F60-B60</f>
        <v>-3</v>
      </c>
    </row>
    <row r="61" spans="1:11" s="4" customFormat="1" ht="35.15" customHeight="1" x14ac:dyDescent="0.45">
      <c r="A61" s="21" t="s">
        <v>38</v>
      </c>
      <c r="B61" s="18">
        <v>496</v>
      </c>
      <c r="C61" s="19">
        <v>9</v>
      </c>
      <c r="D61" s="20">
        <f t="shared" si="0"/>
        <v>4464</v>
      </c>
      <c r="E61" s="21" t="str">
        <f>A61</f>
        <v>713 Mix Blade</v>
      </c>
      <c r="F61" s="22">
        <v>502</v>
      </c>
      <c r="G61" s="49">
        <v>9</v>
      </c>
      <c r="H61" s="23">
        <f t="shared" si="1"/>
        <v>4518</v>
      </c>
      <c r="I61" s="65"/>
      <c r="J61" s="34">
        <f>F61-B61</f>
        <v>6</v>
      </c>
    </row>
    <row r="62" spans="1:11" s="4" customFormat="1" ht="34.5" customHeight="1" x14ac:dyDescent="0.45">
      <c r="A62" s="21" t="s">
        <v>39</v>
      </c>
      <c r="B62" s="18">
        <v>58</v>
      </c>
      <c r="C62" s="19">
        <v>35</v>
      </c>
      <c r="D62" s="20">
        <f t="shared" si="0"/>
        <v>2030</v>
      </c>
      <c r="E62" s="21" t="s">
        <v>63</v>
      </c>
      <c r="F62" s="22">
        <v>7</v>
      </c>
      <c r="G62" s="49">
        <v>10.5</v>
      </c>
      <c r="H62" s="23">
        <f t="shared" si="1"/>
        <v>73.5</v>
      </c>
      <c r="I62" s="65"/>
      <c r="J62" s="34"/>
      <c r="K62" s="48"/>
    </row>
    <row r="63" spans="1:11" s="4" customFormat="1" ht="34.5" customHeight="1" x14ac:dyDescent="0.45">
      <c r="A63" s="21"/>
      <c r="B63" s="18"/>
      <c r="C63" s="19"/>
      <c r="D63" s="20"/>
      <c r="E63" s="21" t="s">
        <v>68</v>
      </c>
      <c r="F63" s="22">
        <v>1</v>
      </c>
      <c r="G63" s="49">
        <v>10.5</v>
      </c>
      <c r="H63" s="23">
        <f t="shared" si="1"/>
        <v>10.5</v>
      </c>
      <c r="I63" s="65"/>
      <c r="J63" s="34"/>
      <c r="K63" s="48"/>
    </row>
    <row r="64" spans="1:11" s="4" customFormat="1" ht="34.5" customHeight="1" x14ac:dyDescent="0.45">
      <c r="A64" s="21"/>
      <c r="B64" s="18"/>
      <c r="C64" s="19"/>
      <c r="D64" s="20"/>
      <c r="E64" s="63" t="s">
        <v>109</v>
      </c>
      <c r="F64" s="22">
        <v>14</v>
      </c>
      <c r="G64" s="49">
        <v>6</v>
      </c>
      <c r="H64" s="23">
        <f t="shared" si="1"/>
        <v>84</v>
      </c>
      <c r="I64" s="65"/>
      <c r="J64" s="34"/>
      <c r="K64" s="48"/>
    </row>
    <row r="65" spans="1:11" s="4" customFormat="1" ht="34.5" customHeight="1" x14ac:dyDescent="0.45">
      <c r="A65" s="21"/>
      <c r="B65" s="18"/>
      <c r="C65" s="19"/>
      <c r="D65" s="20"/>
      <c r="E65" s="21" t="s">
        <v>112</v>
      </c>
      <c r="F65" s="22">
        <v>14</v>
      </c>
      <c r="G65" s="49">
        <v>35</v>
      </c>
      <c r="H65" s="23">
        <f t="shared" si="1"/>
        <v>490</v>
      </c>
      <c r="I65" s="65"/>
      <c r="J65" s="34"/>
      <c r="K65" s="48"/>
    </row>
    <row r="66" spans="1:11" s="4" customFormat="1" ht="34.5" customHeight="1" x14ac:dyDescent="0.45">
      <c r="A66" s="21"/>
      <c r="B66" s="18"/>
      <c r="C66" s="19"/>
      <c r="D66" s="20"/>
      <c r="E66" s="21" t="s">
        <v>112</v>
      </c>
      <c r="F66" s="22">
        <v>6</v>
      </c>
      <c r="G66" s="49">
        <v>35</v>
      </c>
      <c r="H66" s="23">
        <f t="shared" si="1"/>
        <v>210</v>
      </c>
      <c r="I66" s="65"/>
      <c r="J66" s="34"/>
      <c r="K66" s="48"/>
    </row>
    <row r="67" spans="1:11" s="4" customFormat="1" ht="34.5" customHeight="1" x14ac:dyDescent="0.45">
      <c r="A67" s="21"/>
      <c r="B67" s="18"/>
      <c r="C67" s="19"/>
      <c r="D67" s="20"/>
      <c r="E67" s="21" t="s">
        <v>75</v>
      </c>
      <c r="F67" s="22">
        <v>2</v>
      </c>
      <c r="G67" s="49">
        <v>10.5</v>
      </c>
      <c r="H67" s="23">
        <f t="shared" si="1"/>
        <v>21</v>
      </c>
      <c r="I67" s="65"/>
      <c r="J67" s="34"/>
      <c r="K67" s="48"/>
    </row>
    <row r="68" spans="1:11" s="4" customFormat="1" ht="35.15" customHeight="1" x14ac:dyDescent="0.45">
      <c r="A68" s="21"/>
      <c r="B68" s="18"/>
      <c r="C68" s="19"/>
      <c r="D68" s="20"/>
      <c r="E68" s="21" t="s">
        <v>78</v>
      </c>
      <c r="F68" s="22">
        <v>1</v>
      </c>
      <c r="G68" s="49">
        <v>10.5</v>
      </c>
      <c r="H68" s="23">
        <f t="shared" si="1"/>
        <v>10.5</v>
      </c>
      <c r="I68" s="65"/>
      <c r="J68" s="34"/>
    </row>
    <row r="69" spans="1:11" s="4" customFormat="1" ht="34.5" customHeight="1" x14ac:dyDescent="0.45">
      <c r="A69" s="21"/>
      <c r="B69" s="18"/>
      <c r="C69" s="19"/>
      <c r="D69" s="20"/>
      <c r="E69" s="21" t="s">
        <v>79</v>
      </c>
      <c r="F69" s="22">
        <v>11</v>
      </c>
      <c r="G69" s="49">
        <v>10.5</v>
      </c>
      <c r="H69" s="23">
        <f t="shared" si="1"/>
        <v>115.5</v>
      </c>
      <c r="I69" s="65"/>
      <c r="J69" s="34">
        <f>SUM(F62:F69)-B62</f>
        <v>-2</v>
      </c>
      <c r="K69" s="48"/>
    </row>
    <row r="70" spans="1:11" s="4" customFormat="1" ht="34.5" customHeight="1" x14ac:dyDescent="0.45">
      <c r="A70" s="21" t="s">
        <v>40</v>
      </c>
      <c r="B70" s="18">
        <v>202</v>
      </c>
      <c r="C70" s="19">
        <v>10.5</v>
      </c>
      <c r="D70" s="20">
        <f t="shared" si="0"/>
        <v>2121</v>
      </c>
      <c r="E70" s="21" t="str">
        <f>A70</f>
        <v>Rene77 Blade</v>
      </c>
      <c r="F70" s="22">
        <v>133</v>
      </c>
      <c r="G70" s="49">
        <v>10.5</v>
      </c>
      <c r="H70" s="23">
        <f t="shared" si="1"/>
        <v>1396.5</v>
      </c>
      <c r="I70" s="65"/>
      <c r="J70" s="34"/>
      <c r="K70" s="1"/>
    </row>
    <row r="71" spans="1:11" s="4" customFormat="1" ht="34.5" customHeight="1" x14ac:dyDescent="0.45">
      <c r="A71" s="21"/>
      <c r="B71" s="18"/>
      <c r="C71" s="19"/>
      <c r="D71" s="20"/>
      <c r="E71" s="63" t="s">
        <v>109</v>
      </c>
      <c r="F71" s="22">
        <v>64</v>
      </c>
      <c r="G71" s="49">
        <v>6</v>
      </c>
      <c r="H71" s="23">
        <f t="shared" si="1"/>
        <v>384</v>
      </c>
      <c r="I71" s="66" t="s">
        <v>130</v>
      </c>
      <c r="J71" s="34">
        <f>F70+F71-B70</f>
        <v>-5</v>
      </c>
      <c r="K71" s="1"/>
    </row>
    <row r="72" spans="1:11" s="4" customFormat="1" ht="34.5" customHeight="1" x14ac:dyDescent="0.45">
      <c r="A72" s="21" t="s">
        <v>41</v>
      </c>
      <c r="B72" s="18">
        <v>1443</v>
      </c>
      <c r="C72" s="19">
        <v>3.3</v>
      </c>
      <c r="D72" s="20">
        <f t="shared" si="0"/>
        <v>4761.8999999999996</v>
      </c>
      <c r="E72" s="21" t="str">
        <f>A72</f>
        <v>Wco with SKD</v>
      </c>
      <c r="F72" s="22">
        <v>1456</v>
      </c>
      <c r="G72" s="49">
        <v>3.3</v>
      </c>
      <c r="H72" s="23">
        <f t="shared" si="1"/>
        <v>4804.8</v>
      </c>
      <c r="I72" s="67"/>
      <c r="J72" s="34">
        <f>F72-B72</f>
        <v>13</v>
      </c>
      <c r="K72" s="48"/>
    </row>
    <row r="73" spans="1:11" s="4" customFormat="1" ht="34.5" customHeight="1" x14ac:dyDescent="0.45">
      <c r="A73" s="21" t="s">
        <v>42</v>
      </c>
      <c r="B73" s="18">
        <v>2609</v>
      </c>
      <c r="C73" s="19">
        <v>5.2</v>
      </c>
      <c r="D73" s="20">
        <f t="shared" si="0"/>
        <v>13566.800000000001</v>
      </c>
      <c r="E73" s="21" t="str">
        <f>A73</f>
        <v>Ni-B Turning</v>
      </c>
      <c r="F73" s="22">
        <v>2605</v>
      </c>
      <c r="G73" s="49">
        <v>5.2</v>
      </c>
      <c r="H73" s="23">
        <f t="shared" si="1"/>
        <v>13546</v>
      </c>
      <c r="I73" s="65"/>
      <c r="J73" s="34">
        <f>F73-B73</f>
        <v>-4</v>
      </c>
    </row>
    <row r="74" spans="1:11" s="4" customFormat="1" ht="34.5" customHeight="1" x14ac:dyDescent="0.45">
      <c r="A74" s="21" t="s">
        <v>27</v>
      </c>
      <c r="B74" s="18">
        <v>212</v>
      </c>
      <c r="C74" s="19">
        <v>13</v>
      </c>
      <c r="D74" s="20">
        <f t="shared" si="0"/>
        <v>2756</v>
      </c>
      <c r="E74" s="21" t="s">
        <v>27</v>
      </c>
      <c r="F74" s="22">
        <v>150</v>
      </c>
      <c r="G74" s="49">
        <v>13</v>
      </c>
      <c r="H74" s="23">
        <f t="shared" si="1"/>
        <v>1950</v>
      </c>
      <c r="I74" s="65"/>
      <c r="J74" s="34"/>
    </row>
    <row r="75" spans="1:11" s="4" customFormat="1" ht="34.5" customHeight="1" x14ac:dyDescent="0.45">
      <c r="A75" s="21"/>
      <c r="B75" s="18"/>
      <c r="C75" s="19"/>
      <c r="D75" s="20"/>
      <c r="E75" s="21" t="s">
        <v>44</v>
      </c>
      <c r="F75" s="22">
        <v>56</v>
      </c>
      <c r="G75" s="49">
        <v>5.5</v>
      </c>
      <c r="H75" s="23">
        <f t="shared" si="1"/>
        <v>308</v>
      </c>
      <c r="I75" s="65" t="s">
        <v>50</v>
      </c>
      <c r="J75" s="34">
        <f>SUM(F74:F75)-B74</f>
        <v>-6</v>
      </c>
    </row>
    <row r="76" spans="1:11" s="4" customFormat="1" ht="34.5" customHeight="1" thickBot="1" x14ac:dyDescent="0.5">
      <c r="A76" s="21" t="s">
        <v>23</v>
      </c>
      <c r="B76" s="18">
        <v>35</v>
      </c>
      <c r="C76" s="19">
        <v>2.6</v>
      </c>
      <c r="D76" s="20">
        <f t="shared" si="0"/>
        <v>91</v>
      </c>
      <c r="E76" s="21" t="s">
        <v>23</v>
      </c>
      <c r="F76" s="22">
        <v>36</v>
      </c>
      <c r="G76" s="49">
        <v>2.6</v>
      </c>
      <c r="H76" s="23">
        <f t="shared" si="1"/>
        <v>93.600000000000009</v>
      </c>
      <c r="I76" s="65"/>
      <c r="J76" s="34">
        <f>F76-B76</f>
        <v>1</v>
      </c>
    </row>
    <row r="77" spans="1:11" ht="35.15" customHeight="1" thickTop="1" x14ac:dyDescent="0.45">
      <c r="A77" s="24" t="s">
        <v>12</v>
      </c>
      <c r="B77" s="25">
        <f>SUM(B13:B76)</f>
        <v>31496</v>
      </c>
      <c r="C77" s="26"/>
      <c r="D77" s="27">
        <f>SUM(D13:D76)</f>
        <v>326577.60000000003</v>
      </c>
      <c r="E77" s="28" t="s">
        <v>12</v>
      </c>
      <c r="F77" s="29">
        <f>SUM(F13:F76)</f>
        <v>30965</v>
      </c>
      <c r="G77" s="26"/>
      <c r="H77" s="26">
        <f>SUM(H13:H76)</f>
        <v>304287.99999999994</v>
      </c>
      <c r="I77" s="12"/>
      <c r="J77" s="35">
        <f>SUM(J13:J76)</f>
        <v>-531</v>
      </c>
    </row>
    <row r="78" spans="1:11" ht="16.5" customHeight="1" x14ac:dyDescent="0.45">
      <c r="A78" s="4"/>
      <c r="B78" s="5"/>
      <c r="C78" s="6"/>
      <c r="D78" s="7"/>
      <c r="E78" s="4"/>
      <c r="F78" s="5"/>
      <c r="G78" s="6"/>
      <c r="H78" s="6"/>
      <c r="I78" s="15"/>
    </row>
    <row r="80" spans="1:11" ht="35.15" customHeight="1" x14ac:dyDescent="0.45">
      <c r="E80" s="85" t="s">
        <v>3</v>
      </c>
      <c r="F80" s="86"/>
      <c r="G80" s="86"/>
      <c r="H80" s="87">
        <f>H77</f>
        <v>304287.99999999994</v>
      </c>
      <c r="I80" s="88"/>
    </row>
    <row r="81" spans="1:11" ht="35.15" customHeight="1" thickBot="1" x14ac:dyDescent="0.5">
      <c r="E81" s="68" t="s">
        <v>14</v>
      </c>
      <c r="F81" s="69"/>
      <c r="G81" s="69"/>
      <c r="H81" s="70">
        <v>293919.84000000003</v>
      </c>
      <c r="I81" s="71"/>
    </row>
    <row r="82" spans="1:11" ht="35.15" customHeight="1" thickTop="1" x14ac:dyDescent="0.45">
      <c r="E82" s="72" t="s">
        <v>4</v>
      </c>
      <c r="F82" s="73"/>
      <c r="G82" s="73"/>
      <c r="H82" s="74">
        <f>H80-H81</f>
        <v>10368.159999999916</v>
      </c>
      <c r="I82" s="75"/>
    </row>
    <row r="83" spans="1:11" s="13" customFormat="1" ht="30" customHeight="1" x14ac:dyDescent="0.45">
      <c r="I83" s="42"/>
      <c r="J83" s="1"/>
      <c r="K83" s="36"/>
    </row>
    <row r="84" spans="1:11" ht="99" customHeight="1" x14ac:dyDescent="0.45">
      <c r="A84" s="32" t="s">
        <v>9</v>
      </c>
      <c r="B84" s="76"/>
      <c r="C84" s="76"/>
      <c r="D84" s="76"/>
      <c r="E84" s="14" t="s">
        <v>10</v>
      </c>
      <c r="F84" s="16"/>
      <c r="G84" s="17"/>
      <c r="H84" s="17"/>
      <c r="I84" s="43"/>
    </row>
    <row r="85" spans="1:11" ht="26.15" customHeight="1" x14ac:dyDescent="0.45"/>
    <row r="86" spans="1:11" ht="26.15" customHeight="1" x14ac:dyDescent="0.45"/>
    <row r="87" spans="1:11" ht="26.15" customHeight="1" x14ac:dyDescent="0.45"/>
    <row r="88" spans="1:11" ht="26.15" customHeight="1" x14ac:dyDescent="0.45"/>
    <row r="89" spans="1:11" ht="26.15" customHeight="1" x14ac:dyDescent="0.45"/>
    <row r="90" spans="1:11" ht="26.15" customHeight="1" x14ac:dyDescent="0.45"/>
    <row r="91" spans="1:11" ht="26.15" customHeight="1" x14ac:dyDescent="0.45"/>
    <row r="92" spans="1:11" ht="26.15" customHeight="1" x14ac:dyDescent="0.45"/>
    <row r="93" spans="1:11" ht="26.15" customHeight="1" x14ac:dyDescent="0.45"/>
    <row r="94" spans="1:11" ht="26.15" customHeight="1" x14ac:dyDescent="0.45"/>
    <row r="95" spans="1:11" ht="26.15" customHeight="1" x14ac:dyDescent="0.45">
      <c r="J95" s="4"/>
    </row>
    <row r="96" spans="1:11" ht="26.15" customHeight="1" x14ac:dyDescent="0.45">
      <c r="J96" s="4"/>
    </row>
    <row r="97" spans="10:10" ht="26.15" customHeight="1" x14ac:dyDescent="0.45">
      <c r="J97" s="4"/>
    </row>
    <row r="98" spans="10:10" ht="26.15" customHeight="1" x14ac:dyDescent="0.45">
      <c r="J98" s="4"/>
    </row>
    <row r="99" spans="10:10" ht="26.15" customHeight="1" x14ac:dyDescent="0.45">
      <c r="J99" s="4"/>
    </row>
    <row r="100" spans="10:10" ht="26.15" customHeight="1" x14ac:dyDescent="0.45">
      <c r="J100" s="4"/>
    </row>
    <row r="101" spans="10:10" ht="26.15" customHeight="1" x14ac:dyDescent="0.45"/>
    <row r="102" spans="10:10" ht="26.15" customHeight="1" x14ac:dyDescent="0.45"/>
    <row r="103" spans="10:10" ht="26.15" customHeight="1" x14ac:dyDescent="0.45"/>
    <row r="104" spans="10:10" ht="26.15" customHeight="1" x14ac:dyDescent="0.45"/>
    <row r="105" spans="10:10" ht="26.15" customHeight="1" x14ac:dyDescent="0.45"/>
    <row r="106" spans="10:10" ht="26.15" customHeight="1" x14ac:dyDescent="0.45"/>
    <row r="107" spans="10:10" ht="26.15" customHeight="1" x14ac:dyDescent="0.45"/>
    <row r="108" spans="10:10" ht="26.15" customHeight="1" x14ac:dyDescent="0.45"/>
    <row r="109" spans="10:10" ht="26.15" customHeight="1" x14ac:dyDescent="0.45"/>
    <row r="110" spans="10:10" ht="26.15" customHeight="1" x14ac:dyDescent="0.45"/>
    <row r="111" spans="10:10" ht="26.15" customHeight="1" x14ac:dyDescent="0.45">
      <c r="J111" s="4"/>
    </row>
    <row r="112" spans="10:10" ht="26.15" customHeight="1" x14ac:dyDescent="0.45">
      <c r="J112" s="4"/>
    </row>
    <row r="113" ht="26.15" customHeight="1" x14ac:dyDescent="0.45"/>
    <row r="114" ht="26.15" customHeight="1" x14ac:dyDescent="0.45"/>
    <row r="115" ht="26.15" customHeight="1" x14ac:dyDescent="0.45"/>
    <row r="116" ht="26.15" customHeight="1" x14ac:dyDescent="0.45"/>
    <row r="117" ht="26.15" customHeight="1" x14ac:dyDescent="0.45"/>
    <row r="118" ht="26.15" customHeight="1" x14ac:dyDescent="0.45"/>
    <row r="119" ht="26.15" customHeight="1" x14ac:dyDescent="0.45"/>
    <row r="120" ht="26.15" customHeight="1" x14ac:dyDescent="0.45"/>
    <row r="121" ht="26.15" customHeight="1" x14ac:dyDescent="0.45"/>
    <row r="122" ht="26.15" customHeight="1" x14ac:dyDescent="0.45"/>
    <row r="123" ht="26.15" customHeight="1" x14ac:dyDescent="0.45"/>
    <row r="124" ht="26.15" customHeight="1" x14ac:dyDescent="0.45"/>
    <row r="125" ht="26.15" customHeight="1" x14ac:dyDescent="0.45"/>
  </sheetData>
  <mergeCells count="11">
    <mergeCell ref="A2:D2"/>
    <mergeCell ref="E2:I2"/>
    <mergeCell ref="A11:D11"/>
    <mergeCell ref="E11:I11"/>
    <mergeCell ref="E80:G80"/>
    <mergeCell ref="H80:I80"/>
    <mergeCell ref="E81:G81"/>
    <mergeCell ref="H81:I81"/>
    <mergeCell ref="E82:G82"/>
    <mergeCell ref="H82:I82"/>
    <mergeCell ref="B84:D84"/>
  </mergeCells>
  <phoneticPr fontId="2" type="noConversion"/>
  <pageMargins left="0.25" right="0.25" top="0.75" bottom="0.75" header="0.3" footer="0.3"/>
  <pageSetup paperSize="9" scale="61" fitToHeight="0" orientation="portrait" r:id="rId1"/>
  <rowBreaks count="3" manualBreakCount="3">
    <brk id="35" max="8" man="1"/>
    <brk id="61" max="8" man="1"/>
    <brk id="8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검수원본</vt:lpstr>
      <vt:lpstr>세틀</vt:lpstr>
      <vt:lpstr>검수원본!Print_Area</vt:lpstr>
      <vt:lpstr>세틀!Print_Area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iampc</dc:creator>
  <cp:lastModifiedBy>윤태 노</cp:lastModifiedBy>
  <cp:lastPrinted>2026-06-12T08:48:19Z</cp:lastPrinted>
  <dcterms:created xsi:type="dcterms:W3CDTF">2022-08-22T23:16:43Z</dcterms:created>
  <dcterms:modified xsi:type="dcterms:W3CDTF">2026-08-11T16:06:10Z</dcterms:modified>
</cp:coreProperties>
</file>