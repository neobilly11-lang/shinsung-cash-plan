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6716b3bda68e33b/문서/"/>
    </mc:Choice>
  </mc:AlternateContent>
  <xr:revisionPtr revIDLastSave="0" documentId="8_{3AEF1008-D110-4CD8-89E8-BDE2FFDD768F}" xr6:coauthVersionLast="47" xr6:coauthVersionMax="47" xr10:uidLastSave="{00000000-0000-0000-0000-000000000000}"/>
  <bookViews>
    <workbookView xWindow="1480" yWindow="1480" windowWidth="19200" windowHeight="11260" activeTab="1" xr2:uid="{00000000-000D-0000-FFFF-FFFF00000000}"/>
  </bookViews>
  <sheets>
    <sheet name="S.T" sheetId="38" r:id="rId1"/>
    <sheet name="S.T (2)" sheetId="39" r:id="rId2"/>
  </sheets>
  <externalReferences>
    <externalReference r:id="rId3"/>
    <externalReference r:id="rId4"/>
    <externalReference r:id="rId5"/>
    <externalReference r:id="rId6"/>
  </externalReferences>
  <definedNames>
    <definedName name="_xlnm._FilterDatabase" localSheetId="0" hidden="1">#REF!</definedName>
    <definedName name="_xlnm._FilterDatabase" localSheetId="1" hidden="1">#REF!</definedName>
    <definedName name="_xlnm._FilterDatabase" hidden="1">#REF!</definedName>
    <definedName name="color">[1]Color!$B$1:$B$65536</definedName>
    <definedName name="Colors">[2]Colors!$B$2:$B$395</definedName>
    <definedName name="COVER2">'[3]KVC_출고의뢰 (2)'!$C$19</definedName>
    <definedName name="SD">'[3]KVC_출고의뢰 (2)'!$C$19</definedName>
    <definedName name="SE">'[4]KVC_출고의뢰 (2)'!$C$19</definedName>
    <definedName name="출고의뢰">'[3]KVC_출고의뢰 (2)'!$C$19</definedName>
  </definedNames>
  <calcPr calcId="191029"/>
</workbook>
</file>

<file path=xl/calcChain.xml><?xml version="1.0" encoding="utf-8"?>
<calcChain xmlns="http://schemas.openxmlformats.org/spreadsheetml/2006/main">
  <c r="G28" i="39" l="1"/>
  <c r="C28" i="39"/>
  <c r="I16" i="39"/>
  <c r="F16" i="39"/>
  <c r="I12" i="39"/>
  <c r="I26" i="39" s="1"/>
  <c r="F12" i="39"/>
  <c r="I27" i="39" l="1"/>
  <c r="J28" i="39" s="1"/>
  <c r="G28" i="38"/>
  <c r="C28" i="38"/>
  <c r="F11" i="38" l="1"/>
  <c r="I11" i="38"/>
  <c r="I26" i="38" l="1"/>
  <c r="I27" i="38" s="1"/>
  <c r="J28" i="38" s="1"/>
</calcChain>
</file>

<file path=xl/sharedStrings.xml><?xml version="1.0" encoding="utf-8"?>
<sst xmlns="http://schemas.openxmlformats.org/spreadsheetml/2006/main" count="70" uniqueCount="34">
  <si>
    <t>상호</t>
    <phoneticPr fontId="3" type="noConversion"/>
  </si>
  <si>
    <t>주소</t>
    <phoneticPr fontId="3" type="noConversion"/>
  </si>
  <si>
    <t>Tel.</t>
    <phoneticPr fontId="3" type="noConversion"/>
  </si>
  <si>
    <t>Fax.</t>
    <phoneticPr fontId="3" type="noConversion"/>
  </si>
  <si>
    <t>P/O No.</t>
    <phoneticPr fontId="3" type="noConversion"/>
  </si>
  <si>
    <t>품목</t>
    <phoneticPr fontId="3" type="noConversion"/>
  </si>
  <si>
    <t>비고</t>
    <phoneticPr fontId="3" type="noConversion"/>
  </si>
  <si>
    <t>단가</t>
    <phoneticPr fontId="3" type="noConversion"/>
  </si>
  <si>
    <t>Total</t>
    <phoneticPr fontId="3" type="noConversion"/>
  </si>
  <si>
    <t>Total :</t>
  </si>
  <si>
    <t>확인자 :</t>
    <phoneticPr fontId="3" type="noConversion"/>
  </si>
  <si>
    <t>Yours faithfully</t>
    <phoneticPr fontId="3" type="noConversion"/>
  </si>
  <si>
    <t>신  성  금  속</t>
    <phoneticPr fontId="3" type="noConversion"/>
  </si>
  <si>
    <t>공급가액 :</t>
    <phoneticPr fontId="3" type="noConversion"/>
  </si>
  <si>
    <t>부가세 :</t>
    <phoneticPr fontId="3" type="noConversion"/>
  </si>
  <si>
    <t xml:space="preserve">입고일 </t>
    <phoneticPr fontId="2" type="noConversion"/>
  </si>
  <si>
    <t>경상남도 함안군 칠원읍 원서로 205-29
Tel : 055-582-1105  Fax: 055-582-1106
tax@shinsungmetal.net</t>
    <phoneticPr fontId="3" type="noConversion"/>
  </si>
  <si>
    <t>무게(N/W)</t>
    <phoneticPr fontId="3" type="noConversion"/>
  </si>
  <si>
    <t>무게(G/W)</t>
    <phoneticPr fontId="3" type="noConversion"/>
  </si>
  <si>
    <t>정   산   내   역</t>
    <phoneticPr fontId="3" type="noConversion"/>
  </si>
  <si>
    <t>입   고   내   역</t>
    <phoneticPr fontId="3" type="noConversion"/>
  </si>
  <si>
    <r>
      <rPr>
        <b/>
        <sz val="36"/>
        <rFont val="맑은 고딕"/>
        <family val="3"/>
        <charset val="129"/>
        <scheme val="major"/>
      </rPr>
      <t>(주) 신  성  금  속</t>
    </r>
    <r>
      <rPr>
        <b/>
        <sz val="30"/>
        <rFont val="맑은 고딕"/>
        <family val="3"/>
        <charset val="129"/>
        <scheme val="major"/>
      </rPr>
      <t xml:space="preserve">
</t>
    </r>
    <r>
      <rPr>
        <sz val="28"/>
        <rFont val="맑은 고딕"/>
        <family val="3"/>
        <charset val="129"/>
        <scheme val="major"/>
      </rPr>
      <t>www.shinsungmetal.net</t>
    </r>
    <phoneticPr fontId="3" type="noConversion"/>
  </si>
  <si>
    <t>미르스텐</t>
    <phoneticPr fontId="2" type="noConversion"/>
  </si>
  <si>
    <t>경상남도 김해시 진례면 고모로 360</t>
    <phoneticPr fontId="2" type="noConversion"/>
  </si>
  <si>
    <t>055-343-1177</t>
    <phoneticPr fontId="2" type="noConversion"/>
  </si>
  <si>
    <t>055-343-1144</t>
    <phoneticPr fontId="2" type="noConversion"/>
  </si>
  <si>
    <t>Ti 64 TUR</t>
    <phoneticPr fontId="2" type="noConversion"/>
  </si>
  <si>
    <t>33 BAG + 잔마대</t>
    <phoneticPr fontId="2" type="noConversion"/>
  </si>
  <si>
    <r>
      <rPr>
        <sz val="23"/>
        <rFont val="맑은 고딕"/>
        <family val="3"/>
        <charset val="129"/>
        <scheme val="major"/>
      </rPr>
      <t>세금계산서 발행 요청일 : 08월 10일 (월)</t>
    </r>
    <r>
      <rPr>
        <sz val="27"/>
        <rFont val="맑은 고딕"/>
        <family val="3"/>
        <charset val="129"/>
        <scheme val="major"/>
      </rPr>
      <t xml:space="preserve">
</t>
    </r>
    <r>
      <rPr>
        <b/>
        <sz val="29"/>
        <rFont val="맑은 고딕"/>
        <family val="3"/>
        <charset val="129"/>
        <scheme val="major"/>
      </rPr>
      <t>세금계산서 작성일자 : 08월 06일</t>
    </r>
    <r>
      <rPr>
        <sz val="27"/>
        <rFont val="맑은 고딕"/>
        <family val="3"/>
        <charset val="129"/>
        <scheme val="major"/>
      </rPr>
      <t xml:space="preserve">
</t>
    </r>
    <r>
      <rPr>
        <sz val="23"/>
        <rFont val="맑은 고딕"/>
        <family val="3"/>
        <charset val="129"/>
        <scheme val="major"/>
      </rPr>
      <t>발행 마감 : 오후 4시</t>
    </r>
    <phoneticPr fontId="2" type="noConversion"/>
  </si>
  <si>
    <t>8월 4일 입고</t>
    <phoneticPr fontId="2" type="noConversion"/>
  </si>
  <si>
    <t>8월 6일 입고</t>
    <phoneticPr fontId="2" type="noConversion"/>
  </si>
  <si>
    <t>52 BAG</t>
    <phoneticPr fontId="2" type="noConversion"/>
  </si>
  <si>
    <t>Oil loss</t>
    <phoneticPr fontId="2" type="noConversion"/>
  </si>
  <si>
    <t>수세미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</si>
</sst>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23" formatCode="\$#,##0_);\(\$#,##0\)"/>
    <numFmt numFmtId="24" formatCode="\$#,##0_);[Red]\(\$#,##0\)"/>
    <numFmt numFmtId="25" formatCode="\$#,##0.00_);\(\$#,##0.00\)"/>
    <numFmt numFmtId="26" formatCode="\$#,##0.00_);[Red]\(\$#,##0.00\)"/>
    <numFmt numFmtId="176" formatCode="#,##0_ "/>
    <numFmt numFmtId="177" formatCode="#,##0.0_);\(#,##0.0\)"/>
    <numFmt numFmtId="178" formatCode="&quot;$&quot;#,##0_);\(&quot;$&quot;#,##0\)"/>
    <numFmt numFmtId="179" formatCode="_-&quot;IR£&quot;* #,##0.00_-;\-&quot;IR£&quot;* #,##0.00_-;_-&quot;IR£&quot;* &quot;-&quot;??_-;_-@_-"/>
    <numFmt numFmtId="180" formatCode="&quot;£&quot;#,##0;[Red]\-&quot;£&quot;#,##0"/>
    <numFmt numFmtId="181" formatCode="&quot;US$&quot;#,##0_);\(&quot;US$&quot;#,##0\)"/>
    <numFmt numFmtId="182" formatCode="_(* #,##0,_);_(* \(#,##0,\);_(* &quot;-&quot;_);_(@_)"/>
    <numFmt numFmtId="183" formatCode="0000"/>
    <numFmt numFmtId="184" formatCode="&quot;$&quot;#,##0_);[Red]\(&quot;$&quot;#,##0\)"/>
    <numFmt numFmtId="185" formatCode="&quot;₩&quot;#,##0;&quot;₩&quot;&quot;₩&quot;&quot;₩&quot;&quot;₩&quot;\-#,##0"/>
    <numFmt numFmtId="186" formatCode="#,##0;[Red]&quot;-&quot;#,##0"/>
    <numFmt numFmtId="187" formatCode="&quot;₩&quot;#,##0;[Red]&quot;₩&quot;&quot;₩&quot;&quot;₩&quot;&quot;₩&quot;\-#,##0"/>
    <numFmt numFmtId="188" formatCode="#,##0.00;[Red]&quot;-&quot;#,##0.00"/>
    <numFmt numFmtId="189" formatCode="_-&quot;$&quot;* #,##0_-;\-&quot;$&quot;* #,##0_-;_-&quot;$&quot;* &quot;-&quot;_-;_-@_-"/>
    <numFmt numFmtId="190" formatCode="_-&quot;$&quot;* #,##0.00_-;\-&quot;$&quot;* #,##0.00_-;_-&quot;$&quot;* &quot;-&quot;??_-;_-@_-"/>
    <numFmt numFmtId="191" formatCode="&quot;₩&quot;#,##0.00;&quot;₩&quot;&quot;₩&quot;&quot;₩&quot;&quot;₩&quot;\-#,##0.00"/>
    <numFmt numFmtId="192" formatCode="General;"/>
  </numFmts>
  <fonts count="64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name val="돋움체"/>
      <family val="3"/>
      <charset val="129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0"/>
      <name val=".VnTime"/>
      <family val="2"/>
    </font>
    <font>
      <sz val="11"/>
      <color indexed="8"/>
      <name val="宋体"/>
      <family val="3"/>
      <charset val="129"/>
    </font>
    <font>
      <sz val="11"/>
      <color indexed="9"/>
      <name val="宋体"/>
      <charset val="129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.VnTime"/>
      <family val="2"/>
    </font>
    <font>
      <sz val="10"/>
      <name val="MS Sans Serif"/>
      <family val="2"/>
    </font>
    <font>
      <b/>
      <sz val="8"/>
      <name val="VN Helvetica"/>
      <family val="2"/>
    </font>
    <font>
      <b/>
      <sz val="12"/>
      <name val=".vntime"/>
      <family val="2"/>
    </font>
    <font>
      <b/>
      <sz val="10"/>
      <name val="VN AvantGBook"/>
      <family val="2"/>
    </font>
    <font>
      <b/>
      <sz val="16"/>
      <name val=".VnTime"/>
      <family val="2"/>
    </font>
    <font>
      <sz val="9"/>
      <name val=".VnTime"/>
      <family val="2"/>
    </font>
    <font>
      <sz val="14"/>
      <name val=" "/>
      <family val="3"/>
      <charset val="136"/>
    </font>
    <font>
      <b/>
      <sz val="11"/>
      <color indexed="9"/>
      <name val="宋体"/>
      <charset val="129"/>
    </font>
    <font>
      <sz val="11"/>
      <color indexed="10"/>
      <name val="宋体"/>
      <charset val="129"/>
    </font>
    <font>
      <b/>
      <sz val="11"/>
      <color indexed="52"/>
      <name val="宋体"/>
      <charset val="129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1"/>
      <color indexed="60"/>
      <name val="宋体"/>
      <charset val="129"/>
    </font>
    <font>
      <sz val="1"/>
      <color indexed="8"/>
      <name val="Courier"/>
      <family val="3"/>
    </font>
    <font>
      <sz val="14"/>
      <name val="뼻뮝"/>
      <family val="3"/>
    </font>
    <font>
      <sz val="11"/>
      <color indexed="52"/>
      <name val="宋体"/>
      <charset val="129"/>
    </font>
    <font>
      <sz val="12"/>
      <name val="뼻뮝"/>
      <family val="3"/>
    </font>
    <font>
      <sz val="12"/>
      <name val="宋体"/>
      <charset val="129"/>
    </font>
    <font>
      <sz val="11"/>
      <color indexed="62"/>
      <name val="宋体"/>
      <charset val="129"/>
    </font>
    <font>
      <b/>
      <sz val="11"/>
      <color indexed="63"/>
      <name val="宋体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2"/>
      <name val="新細明體"/>
      <family val="1"/>
      <charset val="136"/>
    </font>
    <font>
      <sz val="11"/>
      <color indexed="20"/>
      <name val="宋体"/>
      <charset val="129"/>
    </font>
    <font>
      <b/>
      <sz val="18"/>
      <color indexed="56"/>
      <name val="宋体"/>
      <charset val="129"/>
    </font>
    <font>
      <b/>
      <sz val="15"/>
      <color indexed="56"/>
      <name val="宋体"/>
      <charset val="129"/>
    </font>
    <font>
      <b/>
      <sz val="13"/>
      <color indexed="56"/>
      <name val="宋体"/>
      <charset val="129"/>
    </font>
    <font>
      <b/>
      <sz val="11"/>
      <color indexed="56"/>
      <name val="宋体"/>
      <charset val="129"/>
    </font>
    <font>
      <sz val="10"/>
      <name val="ＭＳ Ｐゴシック"/>
      <family val="2"/>
      <charset val="128"/>
    </font>
    <font>
      <i/>
      <sz val="11"/>
      <color indexed="23"/>
      <name val="宋体"/>
      <charset val="129"/>
    </font>
    <font>
      <sz val="11"/>
      <color indexed="17"/>
      <name val="宋体"/>
      <charset val="129"/>
    </font>
    <font>
      <b/>
      <sz val="11"/>
      <color indexed="8"/>
      <name val="宋体"/>
      <charset val="129"/>
    </font>
    <font>
      <b/>
      <sz val="1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5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sz val="18"/>
      <name val="맑은 고딕"/>
      <family val="3"/>
      <charset val="129"/>
      <scheme val="major"/>
    </font>
    <font>
      <b/>
      <sz val="30"/>
      <name val="맑은 고딕"/>
      <family val="3"/>
      <charset val="129"/>
      <scheme val="major"/>
    </font>
    <font>
      <sz val="17"/>
      <name val="맑은 고딕"/>
      <family val="3"/>
      <charset val="129"/>
      <scheme val="major"/>
    </font>
    <font>
      <b/>
      <sz val="17"/>
      <name val="맑은 고딕"/>
      <family val="3"/>
      <charset val="129"/>
      <scheme val="major"/>
    </font>
    <font>
      <sz val="27"/>
      <name val="맑은 고딕"/>
      <family val="3"/>
      <charset val="129"/>
      <scheme val="major"/>
    </font>
    <font>
      <sz val="23"/>
      <name val="맑은 고딕"/>
      <family val="3"/>
      <charset val="129"/>
      <scheme val="major"/>
    </font>
    <font>
      <b/>
      <sz val="29"/>
      <name val="맑은 고딕"/>
      <family val="3"/>
      <charset val="129"/>
      <scheme val="major"/>
    </font>
    <font>
      <sz val="11"/>
      <color theme="1"/>
      <name val="맑은 고딕"/>
      <family val="2"/>
      <charset val="129"/>
      <scheme val="minor"/>
    </font>
    <font>
      <sz val="17"/>
      <name val="맑은 고딕"/>
      <family val="3"/>
      <charset val="129"/>
      <scheme val="minor"/>
    </font>
    <font>
      <b/>
      <sz val="26"/>
      <name val="맑은 고딕"/>
      <family val="3"/>
      <charset val="129"/>
      <scheme val="major"/>
    </font>
    <font>
      <b/>
      <sz val="36"/>
      <name val="맑은 고딕"/>
      <family val="3"/>
      <charset val="129"/>
      <scheme val="major"/>
    </font>
    <font>
      <sz val="28"/>
      <name val="맑은 고딕"/>
      <family val="3"/>
      <charset val="129"/>
      <scheme val="major"/>
    </font>
  </fonts>
  <fills count="3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61">
    <xf numFmtId="0" fontId="0" fillId="0" borderId="0">
      <alignment vertical="center"/>
    </xf>
    <xf numFmtId="0" fontId="1" fillId="0" borderId="0">
      <alignment vertical="center"/>
    </xf>
    <xf numFmtId="0" fontId="4" fillId="0" borderId="0"/>
    <xf numFmtId="0" fontId="4" fillId="0" borderId="0"/>
    <xf numFmtId="0" fontId="6" fillId="0" borderId="0"/>
    <xf numFmtId="0" fontId="7" fillId="0" borderId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42" fontId="5" fillId="0" borderId="0" applyFill="0" applyBorder="0" applyAlignment="0"/>
    <xf numFmtId="44" fontId="5" fillId="0" borderId="0" applyFill="0" applyBorder="0" applyAlignment="0"/>
    <xf numFmtId="23" fontId="5" fillId="0" borderId="0" applyFill="0" applyBorder="0" applyAlignment="0"/>
    <xf numFmtId="24" fontId="5" fillId="0" borderId="0" applyFill="0" applyBorder="0" applyAlignment="0"/>
    <xf numFmtId="25" fontId="5" fillId="0" borderId="0" applyFill="0" applyBorder="0" applyAlignment="0"/>
    <xf numFmtId="42" fontId="5" fillId="0" borderId="0" applyFill="0" applyBorder="0" applyAlignment="0"/>
    <xf numFmtId="26" fontId="5" fillId="0" borderId="0" applyFill="0" applyBorder="0" applyAlignment="0"/>
    <xf numFmtId="44" fontId="5" fillId="0" borderId="0" applyFill="0" applyBorder="0" applyAlignment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0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4" fontId="11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26" fontId="5" fillId="0" borderId="0" applyFill="0" applyBorder="0" applyAlignment="0"/>
    <xf numFmtId="44" fontId="5" fillId="0" borderId="0" applyFill="0" applyBorder="0" applyAlignment="0"/>
    <xf numFmtId="38" fontId="12" fillId="16" borderId="0" applyNumberFormat="0" applyBorder="0" applyAlignment="0" applyProtection="0"/>
    <xf numFmtId="0" fontId="5" fillId="0" borderId="0" applyNumberFormat="0" applyFont="0" applyBorder="0" applyAlignment="0"/>
    <xf numFmtId="0" fontId="13" fillId="0" borderId="6" applyNumberFormat="0" applyAlignment="0" applyProtection="0">
      <alignment horizontal="left" vertical="center"/>
    </xf>
    <xf numFmtId="0" fontId="13" fillId="0" borderId="3">
      <alignment horizontal="left" vertical="center"/>
    </xf>
    <xf numFmtId="178" fontId="14" fillId="17" borderId="4" applyNumberFormat="0" applyAlignment="0">
      <alignment horizontal="left" vertical="top"/>
    </xf>
    <xf numFmtId="10" fontId="12" fillId="18" borderId="4" applyNumberFormat="0" applyBorder="0" applyAlignment="0" applyProtection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26" fontId="5" fillId="0" borderId="0" applyFill="0" applyBorder="0" applyAlignment="0"/>
    <xf numFmtId="44" fontId="5" fillId="0" borderId="0" applyFill="0" applyBorder="0" applyAlignment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1" fontId="15" fillId="0" borderId="0"/>
    <xf numFmtId="0" fontId="5" fillId="0" borderId="0"/>
    <xf numFmtId="25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26" fontId="5" fillId="0" borderId="0" applyFill="0" applyBorder="0" applyAlignment="0"/>
    <xf numFmtId="44" fontId="5" fillId="0" borderId="0" applyFill="0" applyBorder="0" applyAlignment="0"/>
    <xf numFmtId="49" fontId="11" fillId="0" borderId="0" applyFill="0" applyBorder="0" applyAlignment="0"/>
    <xf numFmtId="183" fontId="5" fillId="0" borderId="0" applyFill="0" applyBorder="0" applyAlignment="0"/>
    <xf numFmtId="15" fontId="5" fillId="0" borderId="0" applyFill="0" applyBorder="0" applyAlignment="0"/>
    <xf numFmtId="178" fontId="16" fillId="19" borderId="1">
      <alignment vertical="top"/>
    </xf>
    <xf numFmtId="0" fontId="17" fillId="20" borderId="4">
      <alignment horizontal="left" vertical="center"/>
    </xf>
    <xf numFmtId="184" fontId="18" fillId="21" borderId="1"/>
    <xf numFmtId="178" fontId="14" fillId="0" borderId="1">
      <alignment horizontal="left" vertical="top"/>
    </xf>
    <xf numFmtId="0" fontId="19" fillId="22" borderId="0">
      <alignment horizontal="left" vertical="center"/>
    </xf>
    <xf numFmtId="178" fontId="8" fillId="0" borderId="5">
      <alignment horizontal="left" vertical="top"/>
    </xf>
    <xf numFmtId="0" fontId="20" fillId="0" borderId="5">
      <alignment horizontal="left" vertical="center"/>
    </xf>
    <xf numFmtId="0" fontId="21" fillId="0" borderId="0"/>
    <xf numFmtId="0" fontId="10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2" fillId="27" borderId="7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8" applyNumberFormat="0" applyAlignment="0" applyProtection="0">
      <alignment vertical="center"/>
    </xf>
    <xf numFmtId="185" fontId="25" fillId="0" borderId="0">
      <protection locked="0"/>
    </xf>
    <xf numFmtId="0" fontId="26" fillId="0" borderId="0">
      <protection locked="0"/>
    </xf>
    <xf numFmtId="0" fontId="26" fillId="0" borderId="0">
      <protection locked="0"/>
    </xf>
    <xf numFmtId="0" fontId="27" fillId="29" borderId="0" applyNumberFormat="0" applyBorder="0" applyAlignment="0" applyProtection="0">
      <alignment vertical="center"/>
    </xf>
    <xf numFmtId="0" fontId="28" fillId="0" borderId="0">
      <protection locked="0"/>
    </xf>
    <xf numFmtId="0" fontId="28" fillId="0" borderId="0">
      <protection locked="0"/>
    </xf>
    <xf numFmtId="40" fontId="29" fillId="0" borderId="0" applyFont="0" applyFill="0" applyBorder="0" applyAlignment="0" applyProtection="0"/>
    <xf numFmtId="38" fontId="29" fillId="0" borderId="0" applyFont="0" applyFill="0" applyBorder="0" applyAlignment="0" applyProtection="0"/>
    <xf numFmtId="0" fontId="30" fillId="0" borderId="9" applyNumberFormat="0" applyFill="0" applyAlignment="0" applyProtection="0">
      <alignment vertical="center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31" fillId="0" borderId="0"/>
    <xf numFmtId="0" fontId="32" fillId="0" borderId="0">
      <alignment vertical="center"/>
    </xf>
    <xf numFmtId="0" fontId="1" fillId="0" borderId="0"/>
    <xf numFmtId="0" fontId="33" fillId="7" borderId="8" applyNumberFormat="0" applyAlignment="0" applyProtection="0">
      <alignment vertical="center"/>
    </xf>
    <xf numFmtId="0" fontId="34" fillId="28" borderId="10" applyNumberFormat="0" applyAlignment="0" applyProtection="0">
      <alignment vertical="center"/>
    </xf>
    <xf numFmtId="186" fontId="35" fillId="0" borderId="0">
      <alignment vertical="center"/>
    </xf>
    <xf numFmtId="0" fontId="8" fillId="0" borderId="0" applyNumberFormat="0" applyFill="0" applyBorder="0" applyAlignment="0" applyProtection="0"/>
    <xf numFmtId="0" fontId="36" fillId="0" borderId="11"/>
    <xf numFmtId="0" fontId="37" fillId="0" borderId="0"/>
    <xf numFmtId="4" fontId="28" fillId="0" borderId="0">
      <protection locked="0"/>
    </xf>
    <xf numFmtId="187" fontId="25" fillId="0" borderId="0">
      <protection locked="0"/>
    </xf>
    <xf numFmtId="0" fontId="32" fillId="30" borderId="12" applyNumberFormat="0" applyFont="0" applyAlignment="0" applyProtection="0">
      <alignment vertical="center"/>
    </xf>
    <xf numFmtId="0" fontId="25" fillId="0" borderId="0"/>
    <xf numFmtId="0" fontId="38" fillId="3" borderId="0" applyNumberFormat="0" applyBorder="0" applyAlignment="0" applyProtection="0">
      <alignment vertical="center"/>
    </xf>
    <xf numFmtId="41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186" fontId="25" fillId="0" borderId="0" applyFont="0" applyFill="0" applyBorder="0" applyAlignment="0" applyProtection="0"/>
    <xf numFmtId="188" fontId="25" fillId="0" borderId="0" applyFont="0" applyFill="0" applyBorder="0" applyAlignment="0" applyProtection="0"/>
    <xf numFmtId="0" fontId="25" fillId="0" borderId="0">
      <protection locked="0"/>
    </xf>
    <xf numFmtId="0" fontId="39" fillId="0" borderId="0" applyNumberFormat="0" applyFill="0" applyBorder="0" applyAlignment="0" applyProtection="0">
      <alignment vertical="center"/>
    </xf>
    <xf numFmtId="0" fontId="40" fillId="0" borderId="13" applyNumberFormat="0" applyFill="0" applyAlignment="0" applyProtection="0">
      <alignment vertical="center"/>
    </xf>
    <xf numFmtId="0" fontId="41" fillId="0" borderId="14" applyNumberFormat="0" applyFill="0" applyAlignment="0" applyProtection="0">
      <alignment vertical="center"/>
    </xf>
    <xf numFmtId="0" fontId="42" fillId="0" borderId="15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/>
    <xf numFmtId="0" fontId="28" fillId="0" borderId="16">
      <protection locked="0"/>
    </xf>
    <xf numFmtId="0" fontId="44" fillId="0" borderId="0" applyNumberFormat="0" applyFill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189" fontId="37" fillId="0" borderId="0" applyFont="0" applyFill="0" applyBorder="0" applyAlignment="0" applyProtection="0"/>
    <xf numFmtId="190" fontId="37" fillId="0" borderId="0" applyFont="0" applyFill="0" applyBorder="0" applyAlignment="0" applyProtection="0"/>
    <xf numFmtId="0" fontId="25" fillId="0" borderId="0">
      <protection locked="0"/>
    </xf>
    <xf numFmtId="191" fontId="25" fillId="0" borderId="0">
      <protection locked="0"/>
    </xf>
    <xf numFmtId="0" fontId="46" fillId="0" borderId="17" applyNumberFormat="0" applyFill="0" applyAlignment="0" applyProtection="0">
      <alignment vertical="center"/>
    </xf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2" fontId="5" fillId="0" borderId="0" applyFill="0" applyBorder="0" applyAlignment="0"/>
    <xf numFmtId="44" fontId="5" fillId="0" borderId="0" applyFill="0" applyBorder="0" applyAlignment="0"/>
    <xf numFmtId="41" fontId="59" fillId="0" borderId="0" applyFon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48" fillId="0" borderId="0" xfId="0" applyFont="1">
      <alignment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0" fillId="0" borderId="0" xfId="0" applyFont="1">
      <alignment vertical="center"/>
    </xf>
    <xf numFmtId="0" fontId="47" fillId="0" borderId="0" xfId="0" applyFont="1" applyAlignment="1">
      <alignment horizontal="center" vertical="center"/>
    </xf>
    <xf numFmtId="0" fontId="52" fillId="0" borderId="0" xfId="0" applyFont="1">
      <alignment vertical="center"/>
    </xf>
    <xf numFmtId="176" fontId="47" fillId="0" borderId="0" xfId="0" applyNumberFormat="1" applyFont="1" applyAlignment="1">
      <alignment horizontal="center" vertical="center"/>
    </xf>
    <xf numFmtId="176" fontId="47" fillId="0" borderId="0" xfId="0" applyNumberFormat="1" applyFont="1">
      <alignment vertical="center"/>
    </xf>
    <xf numFmtId="0" fontId="5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54" fillId="0" borderId="5" xfId="0" applyFont="1" applyBorder="1" applyAlignment="1">
      <alignment horizontal="center" vertical="center"/>
    </xf>
    <xf numFmtId="0" fontId="54" fillId="0" borderId="20" xfId="0" applyFont="1" applyBorder="1" applyAlignment="1">
      <alignment horizontal="center" vertical="center" shrinkToFit="1"/>
    </xf>
    <xf numFmtId="176" fontId="54" fillId="0" borderId="20" xfId="2" applyNumberFormat="1" applyFont="1" applyBorder="1" applyAlignment="1">
      <alignment horizontal="center" vertical="center"/>
    </xf>
    <xf numFmtId="192" fontId="54" fillId="0" borderId="20" xfId="2" applyNumberFormat="1" applyFont="1" applyBorder="1" applyAlignment="1">
      <alignment horizontal="center" vertical="center" shrinkToFit="1"/>
    </xf>
    <xf numFmtId="176" fontId="54" fillId="0" borderId="5" xfId="0" applyNumberFormat="1" applyFont="1" applyBorder="1" applyAlignment="1">
      <alignment horizontal="center" vertical="center"/>
    </xf>
    <xf numFmtId="176" fontId="54" fillId="0" borderId="20" xfId="0" applyNumberFormat="1" applyFont="1" applyBorder="1" applyAlignment="1">
      <alignment horizontal="center" vertical="center"/>
    </xf>
    <xf numFmtId="0" fontId="54" fillId="0" borderId="5" xfId="0" applyFont="1" applyBorder="1" applyAlignment="1">
      <alignment horizontal="center" vertical="center" shrinkToFit="1"/>
    </xf>
    <xf numFmtId="0" fontId="54" fillId="0" borderId="2" xfId="0" applyFont="1" applyBorder="1" applyAlignment="1">
      <alignment horizontal="center" vertical="center" shrinkToFit="1"/>
    </xf>
    <xf numFmtId="176" fontId="54" fillId="0" borderId="4" xfId="0" applyNumberFormat="1" applyFont="1" applyBorder="1" applyAlignment="1">
      <alignment horizontal="center" vertical="center"/>
    </xf>
    <xf numFmtId="176" fontId="55" fillId="0" borderId="4" xfId="0" applyNumberFormat="1" applyFont="1" applyBorder="1" applyAlignment="1">
      <alignment horizontal="center" vertical="center"/>
    </xf>
    <xf numFmtId="176" fontId="52" fillId="0" borderId="21" xfId="0" applyNumberFormat="1" applyFont="1" applyBorder="1">
      <alignment vertical="center"/>
    </xf>
    <xf numFmtId="0" fontId="52" fillId="0" borderId="0" xfId="0" applyFont="1" applyAlignment="1">
      <alignment horizontal="right" vertical="center"/>
    </xf>
    <xf numFmtId="14" fontId="52" fillId="0" borderId="0" xfId="0" applyNumberFormat="1" applyFont="1" applyAlignment="1">
      <alignment horizontal="left" vertical="center"/>
    </xf>
    <xf numFmtId="176" fontId="52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 wrapText="1"/>
    </xf>
    <xf numFmtId="176" fontId="60" fillId="0" borderId="20" xfId="0" applyNumberFormat="1" applyFont="1" applyBorder="1" applyAlignment="1">
      <alignment horizontal="center" vertical="center"/>
    </xf>
    <xf numFmtId="176" fontId="60" fillId="0" borderId="5" xfId="160" applyNumberFormat="1" applyFont="1" applyBorder="1" applyAlignment="1">
      <alignment horizontal="center" vertical="center"/>
    </xf>
    <xf numFmtId="0" fontId="60" fillId="0" borderId="20" xfId="0" applyFont="1" applyBorder="1" applyAlignment="1">
      <alignment horizontal="center" vertical="center" shrinkToFit="1"/>
    </xf>
    <xf numFmtId="0" fontId="61" fillId="0" borderId="0" xfId="0" applyFont="1" applyAlignment="1">
      <alignment vertical="center" wrapText="1" shrinkToFit="1"/>
    </xf>
    <xf numFmtId="0" fontId="61" fillId="0" borderId="24" xfId="0" applyFont="1" applyBorder="1" applyAlignment="1">
      <alignment vertical="center" wrapText="1" shrinkToFit="1"/>
    </xf>
    <xf numFmtId="176" fontId="52" fillId="0" borderId="0" xfId="0" applyNumberFormat="1" applyFont="1">
      <alignment vertical="center"/>
    </xf>
    <xf numFmtId="0" fontId="54" fillId="0" borderId="4" xfId="0" applyFont="1" applyBorder="1" applyAlignment="1">
      <alignment horizontal="center" vertical="center"/>
    </xf>
    <xf numFmtId="0" fontId="54" fillId="0" borderId="0" xfId="0" applyFont="1">
      <alignment vertical="center"/>
    </xf>
    <xf numFmtId="176" fontId="54" fillId="0" borderId="2" xfId="0" applyNumberFormat="1" applyFont="1" applyBorder="1" applyAlignment="1">
      <alignment horizontal="center" vertical="center"/>
    </xf>
    <xf numFmtId="0" fontId="54" fillId="0" borderId="2" xfId="0" applyFont="1" applyBorder="1" applyAlignment="1">
      <alignment horizontal="center" vertical="center"/>
    </xf>
    <xf numFmtId="0" fontId="52" fillId="0" borderId="0" xfId="0" applyFont="1" applyAlignment="1">
      <alignment horizontal="left" vertical="center" indent="6"/>
    </xf>
    <xf numFmtId="0" fontId="51" fillId="0" borderId="5" xfId="0" applyFont="1" applyBorder="1" applyAlignment="1">
      <alignment horizontal="center" vertical="center" shrinkToFit="1"/>
    </xf>
    <xf numFmtId="0" fontId="54" fillId="0" borderId="19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6" fillId="0" borderId="22" xfId="0" applyFont="1" applyBorder="1" applyAlignment="1">
      <alignment horizontal="center" vertical="center" wrapText="1" shrinkToFit="1"/>
    </xf>
    <xf numFmtId="0" fontId="56" fillId="0" borderId="23" xfId="0" applyFont="1" applyBorder="1" applyAlignment="1">
      <alignment horizontal="center" vertical="center" wrapText="1" shrinkToFit="1"/>
    </xf>
    <xf numFmtId="0" fontId="56" fillId="0" borderId="26" xfId="0" applyFont="1" applyBorder="1" applyAlignment="1">
      <alignment horizontal="center" vertical="center" wrapText="1" shrinkToFit="1"/>
    </xf>
    <xf numFmtId="0" fontId="56" fillId="0" borderId="24" xfId="0" applyFont="1" applyBorder="1" applyAlignment="1">
      <alignment horizontal="center" vertical="center" wrapText="1" shrinkToFit="1"/>
    </xf>
    <xf numFmtId="0" fontId="56" fillId="0" borderId="0" xfId="0" applyFont="1" applyAlignment="1">
      <alignment horizontal="center" vertical="center" wrapText="1" shrinkToFit="1"/>
    </xf>
    <xf numFmtId="0" fontId="56" fillId="0" borderId="27" xfId="0" applyFont="1" applyBorder="1" applyAlignment="1">
      <alignment horizontal="center" vertical="center" wrapText="1" shrinkToFit="1"/>
    </xf>
    <xf numFmtId="0" fontId="56" fillId="0" borderId="25" xfId="0" applyFont="1" applyBorder="1" applyAlignment="1">
      <alignment horizontal="center" vertical="center" wrapText="1" shrinkToFit="1"/>
    </xf>
    <xf numFmtId="0" fontId="56" fillId="0" borderId="21" xfId="0" applyFont="1" applyBorder="1" applyAlignment="1">
      <alignment horizontal="center" vertical="center" wrapText="1" shrinkToFit="1"/>
    </xf>
    <xf numFmtId="0" fontId="56" fillId="0" borderId="28" xfId="0" applyFont="1" applyBorder="1" applyAlignment="1">
      <alignment horizontal="center" vertical="center" wrapText="1" shrinkToFit="1"/>
    </xf>
    <xf numFmtId="0" fontId="53" fillId="0" borderId="0" xfId="0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52" fillId="0" borderId="0" xfId="0" applyFont="1" applyAlignment="1">
      <alignment horizontal="left" vertical="center"/>
    </xf>
    <xf numFmtId="0" fontId="51" fillId="0" borderId="0" xfId="0" applyFont="1" applyAlignment="1">
      <alignment horizontal="center" vertical="center" wrapText="1"/>
    </xf>
  </cellXfs>
  <cellStyles count="161">
    <cellStyle name="_Book1" xfId="4" xr:uid="{00000000-0005-0000-0000-000000000000}"/>
    <cellStyle name="_KDYV9002외 4.08 LEOJINS" xfId="5" xr:uid="{00000000-0005-0000-0000-000001000000}"/>
    <cellStyle name="_Theo doi DT HB va DV" xfId="6" xr:uid="{00000000-0005-0000-0000-000002000000}"/>
    <cellStyle name="20% - 强调文字颜色 1" xfId="7" xr:uid="{00000000-0005-0000-0000-000003000000}"/>
    <cellStyle name="20% - 强调文字颜色 2" xfId="8" xr:uid="{00000000-0005-0000-0000-000004000000}"/>
    <cellStyle name="20% - 强调文字颜色 3" xfId="9" xr:uid="{00000000-0005-0000-0000-000005000000}"/>
    <cellStyle name="20% - 强调文字颜色 4" xfId="10" xr:uid="{00000000-0005-0000-0000-000006000000}"/>
    <cellStyle name="20% - 强调文字颜色 5" xfId="11" xr:uid="{00000000-0005-0000-0000-000007000000}"/>
    <cellStyle name="20% - 强调文字颜色 6" xfId="12" xr:uid="{00000000-0005-0000-0000-000008000000}"/>
    <cellStyle name="40% - 强调文字颜色 1" xfId="13" xr:uid="{00000000-0005-0000-0000-000009000000}"/>
    <cellStyle name="40% - 强调文字颜色 2" xfId="14" xr:uid="{00000000-0005-0000-0000-00000A000000}"/>
    <cellStyle name="40% - 强调文字颜色 3" xfId="15" xr:uid="{00000000-0005-0000-0000-00000B000000}"/>
    <cellStyle name="40% - 强调文字颜色 4" xfId="16" xr:uid="{00000000-0005-0000-0000-00000C000000}"/>
    <cellStyle name="40% - 强调文字颜色 5" xfId="17" xr:uid="{00000000-0005-0000-0000-00000D000000}"/>
    <cellStyle name="40% - 强调文字颜色 6" xfId="18" xr:uid="{00000000-0005-0000-0000-00000E000000}"/>
    <cellStyle name="60% - 强调文字颜色 1" xfId="19" xr:uid="{00000000-0005-0000-0000-00000F000000}"/>
    <cellStyle name="60% - 强调文字颜色 2" xfId="20" xr:uid="{00000000-0005-0000-0000-000010000000}"/>
    <cellStyle name="60% - 强调文字颜色 3" xfId="21" xr:uid="{00000000-0005-0000-0000-000011000000}"/>
    <cellStyle name="60% - 强调文字颜色 4" xfId="22" xr:uid="{00000000-0005-0000-0000-000012000000}"/>
    <cellStyle name="60% - 强调文字颜色 5" xfId="23" xr:uid="{00000000-0005-0000-0000-000013000000}"/>
    <cellStyle name="60% - 强调文字颜色 6" xfId="24" xr:uid="{00000000-0005-0000-0000-000014000000}"/>
    <cellStyle name="Calc Currency (0)" xfId="25" xr:uid="{00000000-0005-0000-0000-000015000000}"/>
    <cellStyle name="Calc Currency (0) 2" xfId="142" xr:uid="{00000000-0005-0000-0000-000016000000}"/>
    <cellStyle name="Calc Currency (2)" xfId="26" xr:uid="{00000000-0005-0000-0000-000017000000}"/>
    <cellStyle name="Calc Currency (2) 2" xfId="143" xr:uid="{00000000-0005-0000-0000-000018000000}"/>
    <cellStyle name="Calc Percent (0)" xfId="27" xr:uid="{00000000-0005-0000-0000-000019000000}"/>
    <cellStyle name="Calc Percent (1)" xfId="28" xr:uid="{00000000-0005-0000-0000-00001A000000}"/>
    <cellStyle name="Calc Percent (2)" xfId="29" xr:uid="{00000000-0005-0000-0000-00001B000000}"/>
    <cellStyle name="Calc Units (0)" xfId="30" xr:uid="{00000000-0005-0000-0000-00001C000000}"/>
    <cellStyle name="Calc Units (0) 2" xfId="144" xr:uid="{00000000-0005-0000-0000-00001D000000}"/>
    <cellStyle name="Calc Units (1)" xfId="31" xr:uid="{00000000-0005-0000-0000-00001E000000}"/>
    <cellStyle name="Calc Units (2)" xfId="32" xr:uid="{00000000-0005-0000-0000-00001F000000}"/>
    <cellStyle name="Calc Units (2) 2" xfId="145" xr:uid="{00000000-0005-0000-0000-000020000000}"/>
    <cellStyle name="Comma  - Style1" xfId="33" xr:uid="{00000000-0005-0000-0000-000021000000}"/>
    <cellStyle name="Comma  - Style2" xfId="34" xr:uid="{00000000-0005-0000-0000-000022000000}"/>
    <cellStyle name="Comma  - Style3" xfId="35" xr:uid="{00000000-0005-0000-0000-000023000000}"/>
    <cellStyle name="Comma  - Style4" xfId="36" xr:uid="{00000000-0005-0000-0000-000024000000}"/>
    <cellStyle name="Comma  - Style5" xfId="37" xr:uid="{00000000-0005-0000-0000-000025000000}"/>
    <cellStyle name="Comma  - Style6" xfId="38" xr:uid="{00000000-0005-0000-0000-000026000000}"/>
    <cellStyle name="Comma  - Style7" xfId="39" xr:uid="{00000000-0005-0000-0000-000027000000}"/>
    <cellStyle name="Comma  - Style8" xfId="40" xr:uid="{00000000-0005-0000-0000-000028000000}"/>
    <cellStyle name="Comma [0]_ SG&amp;A Bridge " xfId="41" xr:uid="{00000000-0005-0000-0000-000029000000}"/>
    <cellStyle name="Comma [00]" xfId="42" xr:uid="{00000000-0005-0000-0000-00002A000000}"/>
    <cellStyle name="Comma [00] 2" xfId="146" xr:uid="{00000000-0005-0000-0000-00002B000000}"/>
    <cellStyle name="Comma_ SG&amp;A Bridge " xfId="43" xr:uid="{00000000-0005-0000-0000-00002C000000}"/>
    <cellStyle name="Currency [0]_ SG&amp;A Bridge " xfId="44" xr:uid="{00000000-0005-0000-0000-00002D000000}"/>
    <cellStyle name="Currency [00]" xfId="45" xr:uid="{00000000-0005-0000-0000-00002E000000}"/>
    <cellStyle name="Currency [00] 2" xfId="147" xr:uid="{00000000-0005-0000-0000-00002F000000}"/>
    <cellStyle name="Currency_ SG&amp;A Bridge " xfId="46" xr:uid="{00000000-0005-0000-0000-000030000000}"/>
    <cellStyle name="Date Short" xfId="47" xr:uid="{00000000-0005-0000-0000-000031000000}"/>
    <cellStyle name="Enter Currency (0)" xfId="48" xr:uid="{00000000-0005-0000-0000-000032000000}"/>
    <cellStyle name="Enter Currency (0) 2" xfId="148" xr:uid="{00000000-0005-0000-0000-000033000000}"/>
    <cellStyle name="Enter Currency (2)" xfId="49" xr:uid="{00000000-0005-0000-0000-000034000000}"/>
    <cellStyle name="Enter Currency (2) 2" xfId="149" xr:uid="{00000000-0005-0000-0000-000035000000}"/>
    <cellStyle name="Enter Units (0)" xfId="50" xr:uid="{00000000-0005-0000-0000-000036000000}"/>
    <cellStyle name="Enter Units (0) 2" xfId="150" xr:uid="{00000000-0005-0000-0000-000037000000}"/>
    <cellStyle name="Enter Units (1)" xfId="51" xr:uid="{00000000-0005-0000-0000-000038000000}"/>
    <cellStyle name="Enter Units (2)" xfId="52" xr:uid="{00000000-0005-0000-0000-000039000000}"/>
    <cellStyle name="Enter Units (2) 2" xfId="151" xr:uid="{00000000-0005-0000-0000-00003A000000}"/>
    <cellStyle name="Grey" xfId="53" xr:uid="{00000000-0005-0000-0000-00003B000000}"/>
    <cellStyle name="Header" xfId="54" xr:uid="{00000000-0005-0000-0000-00003C000000}"/>
    <cellStyle name="Header1" xfId="55" xr:uid="{00000000-0005-0000-0000-00003D000000}"/>
    <cellStyle name="Header2" xfId="56" xr:uid="{00000000-0005-0000-0000-00003E000000}"/>
    <cellStyle name="headoption" xfId="57" xr:uid="{00000000-0005-0000-0000-00003F000000}"/>
    <cellStyle name="Input [yellow]" xfId="58" xr:uid="{00000000-0005-0000-0000-000040000000}"/>
    <cellStyle name="Link Currency (0)" xfId="59" xr:uid="{00000000-0005-0000-0000-000041000000}"/>
    <cellStyle name="Link Currency (0) 2" xfId="152" xr:uid="{00000000-0005-0000-0000-000042000000}"/>
    <cellStyle name="Link Currency (2)" xfId="60" xr:uid="{00000000-0005-0000-0000-000043000000}"/>
    <cellStyle name="Link Currency (2) 2" xfId="153" xr:uid="{00000000-0005-0000-0000-000044000000}"/>
    <cellStyle name="Link Units (0)" xfId="61" xr:uid="{00000000-0005-0000-0000-000045000000}"/>
    <cellStyle name="Link Units (0) 2" xfId="154" xr:uid="{00000000-0005-0000-0000-000046000000}"/>
    <cellStyle name="Link Units (1)" xfId="62" xr:uid="{00000000-0005-0000-0000-000047000000}"/>
    <cellStyle name="Link Units (2)" xfId="63" xr:uid="{00000000-0005-0000-0000-000048000000}"/>
    <cellStyle name="Link Units (2) 2" xfId="155" xr:uid="{00000000-0005-0000-0000-000049000000}"/>
    <cellStyle name="Millares [0]_2AV_M_M " xfId="64" xr:uid="{00000000-0005-0000-0000-00004A000000}"/>
    <cellStyle name="Millares_2AV_M_M " xfId="65" xr:uid="{00000000-0005-0000-0000-00004B000000}"/>
    <cellStyle name="Moneda [0]_2AV_M_M " xfId="66" xr:uid="{00000000-0005-0000-0000-00004C000000}"/>
    <cellStyle name="Moneda_2AV_M_M " xfId="67" xr:uid="{00000000-0005-0000-0000-00004D000000}"/>
    <cellStyle name="Normal - Style1" xfId="68" xr:uid="{00000000-0005-0000-0000-00004E000000}"/>
    <cellStyle name="Normal_ SG&amp;A Bridge " xfId="69" xr:uid="{00000000-0005-0000-0000-00004F000000}"/>
    <cellStyle name="Percent [0]" xfId="70" xr:uid="{00000000-0005-0000-0000-000050000000}"/>
    <cellStyle name="Percent [00]" xfId="71" xr:uid="{00000000-0005-0000-0000-000051000000}"/>
    <cellStyle name="Percent [2]" xfId="72" xr:uid="{00000000-0005-0000-0000-000052000000}"/>
    <cellStyle name="PrePop Currency (0)" xfId="73" xr:uid="{00000000-0005-0000-0000-000053000000}"/>
    <cellStyle name="PrePop Currency (0) 2" xfId="156" xr:uid="{00000000-0005-0000-0000-000054000000}"/>
    <cellStyle name="PrePop Currency (2)" xfId="74" xr:uid="{00000000-0005-0000-0000-000055000000}"/>
    <cellStyle name="PrePop Currency (2) 2" xfId="157" xr:uid="{00000000-0005-0000-0000-000056000000}"/>
    <cellStyle name="PrePop Units (0)" xfId="75" xr:uid="{00000000-0005-0000-0000-000057000000}"/>
    <cellStyle name="PrePop Units (0) 2" xfId="158" xr:uid="{00000000-0005-0000-0000-000058000000}"/>
    <cellStyle name="PrePop Units (1)" xfId="76" xr:uid="{00000000-0005-0000-0000-000059000000}"/>
    <cellStyle name="PrePop Units (2)" xfId="77" xr:uid="{00000000-0005-0000-0000-00005A000000}"/>
    <cellStyle name="PrePop Units (2) 2" xfId="159" xr:uid="{00000000-0005-0000-0000-00005B000000}"/>
    <cellStyle name="Text Indent A" xfId="78" xr:uid="{00000000-0005-0000-0000-00005C000000}"/>
    <cellStyle name="Text Indent B" xfId="79" xr:uid="{00000000-0005-0000-0000-00005D000000}"/>
    <cellStyle name="Text Indent C" xfId="80" xr:uid="{00000000-0005-0000-0000-00005E000000}"/>
    <cellStyle name="vnbo" xfId="81" xr:uid="{00000000-0005-0000-0000-00005F000000}"/>
    <cellStyle name="vnhead1" xfId="82" xr:uid="{00000000-0005-0000-0000-000060000000}"/>
    <cellStyle name="vnhead2" xfId="83" xr:uid="{00000000-0005-0000-0000-000061000000}"/>
    <cellStyle name="vnhead3" xfId="84" xr:uid="{00000000-0005-0000-0000-000062000000}"/>
    <cellStyle name="vnhead4" xfId="85" xr:uid="{00000000-0005-0000-0000-000063000000}"/>
    <cellStyle name="vntxt1" xfId="86" xr:uid="{00000000-0005-0000-0000-000064000000}"/>
    <cellStyle name="vntxt2" xfId="87" xr:uid="{00000000-0005-0000-0000-000065000000}"/>
    <cellStyle name="" xfId="88" xr:uid="{00000000-0005-0000-0000-000066000000}"/>
    <cellStyle name="强调文字颜色 1" xfId="89" xr:uid="{00000000-0005-0000-0000-000067000000}"/>
    <cellStyle name="强调文字颜色 2" xfId="90" xr:uid="{00000000-0005-0000-0000-000068000000}"/>
    <cellStyle name="强调文字颜色 3" xfId="91" xr:uid="{00000000-0005-0000-0000-000069000000}"/>
    <cellStyle name="强调文字颜色 4" xfId="92" xr:uid="{00000000-0005-0000-0000-00006A000000}"/>
    <cellStyle name="强调文字颜色 5" xfId="93" xr:uid="{00000000-0005-0000-0000-00006B000000}"/>
    <cellStyle name="强调文字颜色 6" xfId="94" xr:uid="{00000000-0005-0000-0000-00006C000000}"/>
    <cellStyle name="检查单元格" xfId="95" xr:uid="{00000000-0005-0000-0000-00006D000000}"/>
    <cellStyle name="警告文本" xfId="96" xr:uid="{00000000-0005-0000-0000-00006E000000}"/>
    <cellStyle name="计算" xfId="97" xr:uid="{00000000-0005-0000-0000-00006F000000}"/>
    <cellStyle name="고정소숫점" xfId="98" xr:uid="{00000000-0005-0000-0000-000070000000}"/>
    <cellStyle name="고정출력1" xfId="99" xr:uid="{00000000-0005-0000-0000-000071000000}"/>
    <cellStyle name="고정출력2" xfId="100" xr:uid="{00000000-0005-0000-0000-000072000000}"/>
    <cellStyle name="适中" xfId="101" xr:uid="{00000000-0005-0000-0000-000073000000}"/>
    <cellStyle name="날짜" xfId="102" xr:uid="{00000000-0005-0000-0000-000074000000}"/>
    <cellStyle name="달러" xfId="103" xr:uid="{00000000-0005-0000-0000-000075000000}"/>
    <cellStyle name="똿뗦먛귟 [0.00]_PRODUCT DETAIL Q1" xfId="104" xr:uid="{00000000-0005-0000-0000-000076000000}"/>
    <cellStyle name="똿뗦먛귟_PRODUCT DETAIL Q1" xfId="105" xr:uid="{00000000-0005-0000-0000-000077000000}"/>
    <cellStyle name="链接单元格" xfId="106" xr:uid="{00000000-0005-0000-0000-000078000000}"/>
    <cellStyle name="믅됞 [0.00]_PRODUCT DETAIL Q1" xfId="107" xr:uid="{00000000-0005-0000-0000-000079000000}"/>
    <cellStyle name="믅됞_PRODUCT DETAIL Q1" xfId="108" xr:uid="{00000000-0005-0000-0000-00007A000000}"/>
    <cellStyle name="뷭?_BOOKSHIP" xfId="109" xr:uid="{00000000-0005-0000-0000-00007B000000}"/>
    <cellStyle name="常规 2" xfId="110" xr:uid="{00000000-0005-0000-0000-00007C000000}"/>
    <cellStyle name="常规_Sheet1" xfId="111" xr:uid="{00000000-0005-0000-0000-00007D000000}"/>
    <cellStyle name="输入" xfId="112" xr:uid="{00000000-0005-0000-0000-00007E000000}"/>
    <cellStyle name="输出" xfId="113" xr:uid="{00000000-0005-0000-0000-00007F000000}"/>
    <cellStyle name="숫자(R)" xfId="114" xr:uid="{00000000-0005-0000-0000-000080000000}"/>
    <cellStyle name="쉼표 [0]" xfId="160" builtinId="6"/>
    <cellStyle name="스타일 1" xfId="115" xr:uid="{00000000-0005-0000-0000-000081000000}"/>
    <cellStyle name="안건회계법인" xfId="116" xr:uid="{00000000-0005-0000-0000-000082000000}"/>
    <cellStyle name="一般_Book1" xfId="117" xr:uid="{00000000-0005-0000-0000-000083000000}"/>
    <cellStyle name="자리수" xfId="118" xr:uid="{00000000-0005-0000-0000-000084000000}"/>
    <cellStyle name="자리수0" xfId="119" xr:uid="{00000000-0005-0000-0000-000085000000}"/>
    <cellStyle name="注释" xfId="120" xr:uid="{00000000-0005-0000-0000-000086000000}"/>
    <cellStyle name="지정되지 않음" xfId="121" xr:uid="{00000000-0005-0000-0000-000087000000}"/>
    <cellStyle name="差" xfId="122" xr:uid="{00000000-0005-0000-0000-000088000000}"/>
    <cellStyle name="千分位[0]_Book1" xfId="123" xr:uid="{00000000-0005-0000-0000-000089000000}"/>
    <cellStyle name="千分位_Book1" xfId="124" xr:uid="{00000000-0005-0000-0000-00008A000000}"/>
    <cellStyle name="콤마 [0]_(type)총괄" xfId="125" xr:uid="{00000000-0005-0000-0000-00008B000000}"/>
    <cellStyle name="콤마_(type)총괄" xfId="126" xr:uid="{00000000-0005-0000-0000-00008C000000}"/>
    <cellStyle name="퍼센트" xfId="127" xr:uid="{00000000-0005-0000-0000-00008D000000}"/>
    <cellStyle name="标题" xfId="128" xr:uid="{00000000-0005-0000-0000-00008E000000}"/>
    <cellStyle name="标题 1" xfId="129" xr:uid="{00000000-0005-0000-0000-00008F000000}"/>
    <cellStyle name="标题 2" xfId="130" xr:uid="{00000000-0005-0000-0000-000090000000}"/>
    <cellStyle name="标题 3" xfId="131" xr:uid="{00000000-0005-0000-0000-000091000000}"/>
    <cellStyle name="标题 4" xfId="132" xr:uid="{00000000-0005-0000-0000-000092000000}"/>
    <cellStyle name="표준" xfId="0" builtinId="0"/>
    <cellStyle name="표준 2" xfId="1" xr:uid="{00000000-0005-0000-0000-000094000000}"/>
    <cellStyle name="표준 3" xfId="3" xr:uid="{00000000-0005-0000-0000-000095000000}"/>
    <cellStyle name="標準_#265_Rebates and Pricing" xfId="133" xr:uid="{00000000-0005-0000-0000-000096000000}"/>
    <cellStyle name="표준_9-17 AIR DOC." xfId="2" xr:uid="{00000000-0005-0000-0000-000097000000}"/>
    <cellStyle name="합산" xfId="134" xr:uid="{00000000-0005-0000-0000-00009A000000}"/>
    <cellStyle name="解释性文本" xfId="135" xr:uid="{00000000-0005-0000-0000-00009B000000}"/>
    <cellStyle name="好" xfId="136" xr:uid="{00000000-0005-0000-0000-00009C000000}"/>
    <cellStyle name="貨幣 [0]_Book1" xfId="137" xr:uid="{00000000-0005-0000-0000-00009D000000}"/>
    <cellStyle name="貨幣_Book1" xfId="138" xr:uid="{00000000-0005-0000-0000-00009E000000}"/>
    <cellStyle name="화폐기호" xfId="139" xr:uid="{00000000-0005-0000-0000-00009F000000}"/>
    <cellStyle name="화폐기호0" xfId="140" xr:uid="{00000000-0005-0000-0000-0000A0000000}"/>
    <cellStyle name="汇总" xfId="141" xr:uid="{00000000-0005-0000-0000-0000A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154081</xdr:colOff>
      <xdr:row>1</xdr:row>
      <xdr:rowOff>196103</xdr:rowOff>
    </xdr:from>
    <xdr:ext cx="808536" cy="947947"/>
    <xdr:pic>
      <xdr:nvPicPr>
        <xdr:cNvPr id="2" name="그림 1">
          <a:extLst>
            <a:ext uri="{FF2B5EF4-FFF2-40B4-BE49-F238E27FC236}">
              <a16:creationId xmlns:a16="http://schemas.microsoft.com/office/drawing/2014/main" id="{78B620B3-7FA8-4EE4-91F1-F4DCC81B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7031" y="405653"/>
          <a:ext cx="808536" cy="947947"/>
        </a:xfrm>
        <a:prstGeom prst="rect">
          <a:avLst/>
        </a:prstGeom>
      </xdr:spPr>
    </xdr:pic>
    <xdr:clientData/>
  </xdr:oneCellAnchor>
  <xdr:twoCellAnchor>
    <xdr:from>
      <xdr:col>4</xdr:col>
      <xdr:colOff>81648</xdr:colOff>
      <xdr:row>17</xdr:row>
      <xdr:rowOff>14009</xdr:rowOff>
    </xdr:from>
    <xdr:to>
      <xdr:col>4</xdr:col>
      <xdr:colOff>518272</xdr:colOff>
      <xdr:row>17</xdr:row>
      <xdr:rowOff>294155</xdr:rowOff>
    </xdr:to>
    <xdr:sp macro="" textlink="">
      <xdr:nvSpPr>
        <xdr:cNvPr id="3" name="오른쪽 화살표 1">
          <a:extLst>
            <a:ext uri="{FF2B5EF4-FFF2-40B4-BE49-F238E27FC236}">
              <a16:creationId xmlns:a16="http://schemas.microsoft.com/office/drawing/2014/main" id="{6E58BE33-4124-47EB-941B-DC86EEFB6232}"/>
            </a:ext>
          </a:extLst>
        </xdr:cNvPr>
        <xdr:cNvSpPr/>
      </xdr:nvSpPr>
      <xdr:spPr>
        <a:xfrm>
          <a:off x="6216869" y="5462869"/>
          <a:ext cx="436624" cy="280146"/>
        </a:xfrm>
        <a:prstGeom prst="rightArrow">
          <a:avLst/>
        </a:prstGeom>
        <a:noFill/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154081</xdr:colOff>
      <xdr:row>1</xdr:row>
      <xdr:rowOff>196103</xdr:rowOff>
    </xdr:from>
    <xdr:ext cx="808536" cy="947947"/>
    <xdr:pic>
      <xdr:nvPicPr>
        <xdr:cNvPr id="2" name="그림 1">
          <a:extLst>
            <a:ext uri="{FF2B5EF4-FFF2-40B4-BE49-F238E27FC236}">
              <a16:creationId xmlns:a16="http://schemas.microsoft.com/office/drawing/2014/main" id="{DAE32F0F-E9BE-4410-BD8D-D561EC6238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581" y="338978"/>
          <a:ext cx="808536" cy="947947"/>
        </a:xfrm>
        <a:prstGeom prst="rect">
          <a:avLst/>
        </a:prstGeom>
      </xdr:spPr>
    </xdr:pic>
    <xdr:clientData/>
  </xdr:oneCellAnchor>
  <xdr:twoCellAnchor>
    <xdr:from>
      <xdr:col>4</xdr:col>
      <xdr:colOff>81648</xdr:colOff>
      <xdr:row>17</xdr:row>
      <xdr:rowOff>14009</xdr:rowOff>
    </xdr:from>
    <xdr:to>
      <xdr:col>4</xdr:col>
      <xdr:colOff>518272</xdr:colOff>
      <xdr:row>17</xdr:row>
      <xdr:rowOff>294155</xdr:rowOff>
    </xdr:to>
    <xdr:sp macro="" textlink="">
      <xdr:nvSpPr>
        <xdr:cNvPr id="3" name="오른쪽 화살표 1">
          <a:extLst>
            <a:ext uri="{FF2B5EF4-FFF2-40B4-BE49-F238E27FC236}">
              <a16:creationId xmlns:a16="http://schemas.microsoft.com/office/drawing/2014/main" id="{2502A043-4859-4E59-87F6-081AD1B22AD9}"/>
            </a:ext>
          </a:extLst>
        </xdr:cNvPr>
        <xdr:cNvSpPr/>
      </xdr:nvSpPr>
      <xdr:spPr>
        <a:xfrm>
          <a:off x="6206223" y="5424209"/>
          <a:ext cx="436624" cy="280146"/>
        </a:xfrm>
        <a:prstGeom prst="rightArrow">
          <a:avLst/>
        </a:prstGeom>
        <a:noFill/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ko-KR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erchandising\MILLSH-L\Fall%2003\LR%20&amp;%20Braggi%20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f_division_02\exchange\Merchandising\LINELIST\F02\F02%20Line%20Li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master\My%20Documents\&#47928;&#49436;&#54028;&#51068;\&#52636;&#44256;\&#54840;&#51204;\&#54840;&#51204;&#52636;&#44256;&#51032;&#47280;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44608;&#51060;&#44221;\GNP\&#49340;&#51648;&#48156;&#49569;&#49436;&#47448;\12.26_OCEAN_HAIPHONG(LCL)\Documents%20and%20Settings\master\My%20Documents\&#47928;&#49436;&#54028;&#51068;\&#52636;&#44256;\&#54840;&#51204;\&#54840;&#51204;&#52636;&#44256;&#51032;&#47280;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g Idea price"/>
      <sheetName val="Mervyn's sample"/>
      <sheetName val="Moderne Classique"/>
      <sheetName val="JhaneBarnes"/>
      <sheetName val="Promotion"/>
      <sheetName val="LUXE"/>
      <sheetName val="Classification Brands"/>
      <sheetName val="SMU-customer"/>
      <sheetName val="Magic Samples"/>
      <sheetName val="Segye"/>
      <sheetName val="Color"/>
      <sheetName val="leftover luxe"/>
      <sheetName val="leftover bragg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">
          <cell r="B1" t="str">
            <v>DESCRIPTION</v>
          </cell>
        </row>
        <row r="2">
          <cell r="B2" t="str">
            <v>Black</v>
          </cell>
        </row>
        <row r="3">
          <cell r="B3" t="str">
            <v>Licorice</v>
          </cell>
        </row>
        <row r="4">
          <cell r="B4" t="str">
            <v>Natural / Black</v>
          </cell>
        </row>
        <row r="5">
          <cell r="B5" t="str">
            <v>Black / Brown</v>
          </cell>
        </row>
        <row r="6">
          <cell r="B6" t="str">
            <v>Suede</v>
          </cell>
        </row>
        <row r="7">
          <cell r="B7" t="str">
            <v>Midnight</v>
          </cell>
        </row>
        <row r="8">
          <cell r="B8" t="str">
            <v>Peat Moss</v>
          </cell>
        </row>
        <row r="9">
          <cell r="B9" t="str">
            <v>Officer Blue</v>
          </cell>
        </row>
        <row r="10">
          <cell r="B10" t="str">
            <v>Mink</v>
          </cell>
        </row>
        <row r="11">
          <cell r="B11" t="str">
            <v>Camel / Grey</v>
          </cell>
        </row>
        <row r="12">
          <cell r="B12" t="str">
            <v>Ebony</v>
          </cell>
        </row>
        <row r="13">
          <cell r="B13" t="str">
            <v>Charcoal / Navy</v>
          </cell>
        </row>
        <row r="14">
          <cell r="B14" t="str">
            <v>Black/Off White</v>
          </cell>
        </row>
        <row r="15">
          <cell r="B15" t="str">
            <v>Off White</v>
          </cell>
        </row>
        <row r="16">
          <cell r="B16" t="str">
            <v>Glass</v>
          </cell>
        </row>
        <row r="17">
          <cell r="B17" t="str">
            <v>Okra</v>
          </cell>
        </row>
        <row r="18">
          <cell r="B18" t="str">
            <v>Pure Black</v>
          </cell>
        </row>
        <row r="19">
          <cell r="B19" t="str">
            <v>Latte</v>
          </cell>
        </row>
        <row r="20">
          <cell r="B20" t="str">
            <v>Espresso</v>
          </cell>
        </row>
        <row r="21">
          <cell r="B21" t="str">
            <v>Smokey Brown</v>
          </cell>
        </row>
        <row r="22">
          <cell r="B22" t="str">
            <v>Deep Seafoam</v>
          </cell>
        </row>
        <row r="23">
          <cell r="B23" t="str">
            <v>Black Current</v>
          </cell>
        </row>
        <row r="24">
          <cell r="B24" t="str">
            <v>Oak</v>
          </cell>
        </row>
        <row r="25">
          <cell r="B25" t="str">
            <v>Monk</v>
          </cell>
        </row>
        <row r="26">
          <cell r="B26" t="str">
            <v>Zinc / Black</v>
          </cell>
        </row>
        <row r="27">
          <cell r="B27" t="str">
            <v>Brolive</v>
          </cell>
        </row>
        <row r="28">
          <cell r="B28" t="str">
            <v>Pebble</v>
          </cell>
        </row>
        <row r="29">
          <cell r="B29" t="str">
            <v>Winter White/Grey</v>
          </cell>
        </row>
        <row r="30">
          <cell r="B30" t="str">
            <v>Coffee Bean</v>
          </cell>
        </row>
        <row r="31">
          <cell r="B31" t="str">
            <v>Charcoal/Camel</v>
          </cell>
        </row>
        <row r="32">
          <cell r="B32" t="str">
            <v>Charcoal</v>
          </cell>
        </row>
        <row r="33">
          <cell r="B33" t="str">
            <v>Graphite</v>
          </cell>
        </row>
        <row r="34">
          <cell r="B34" t="str">
            <v>Black/Teal</v>
          </cell>
        </row>
        <row r="35">
          <cell r="B35" t="str">
            <v>Dark Charcoal</v>
          </cell>
        </row>
        <row r="36">
          <cell r="B36" t="str">
            <v>Navy/Grey</v>
          </cell>
        </row>
        <row r="37">
          <cell r="B37" t="str">
            <v>Caper</v>
          </cell>
        </row>
        <row r="38">
          <cell r="B38" t="str">
            <v>Ocher</v>
          </cell>
        </row>
        <row r="39">
          <cell r="B39" t="str">
            <v xml:space="preserve">Dusk     </v>
          </cell>
        </row>
        <row r="40">
          <cell r="B40" t="str">
            <v>Otter</v>
          </cell>
        </row>
        <row r="41">
          <cell r="B41" t="str">
            <v>Cub</v>
          </cell>
        </row>
        <row r="42">
          <cell r="B42" t="str">
            <v>Gunmetal</v>
          </cell>
        </row>
        <row r="43">
          <cell r="B43" t="str">
            <v>Fog</v>
          </cell>
        </row>
        <row r="44">
          <cell r="B44" t="str">
            <v>Coal</v>
          </cell>
        </row>
        <row r="45">
          <cell r="B45" t="str">
            <v>Mud</v>
          </cell>
        </row>
        <row r="46">
          <cell r="B46" t="str">
            <v>Tree</v>
          </cell>
        </row>
        <row r="47">
          <cell r="B47" t="str">
            <v>Cement</v>
          </cell>
        </row>
        <row r="48">
          <cell r="B48" t="str">
            <v>Charcoal/Blue</v>
          </cell>
        </row>
        <row r="49">
          <cell r="B49" t="str">
            <v>Cloud</v>
          </cell>
        </row>
        <row r="50">
          <cell r="B50" t="str">
            <v>Mist</v>
          </cell>
        </row>
        <row r="51">
          <cell r="B51" t="str">
            <v>Rock</v>
          </cell>
        </row>
        <row r="52">
          <cell r="B52" t="str">
            <v>Grey</v>
          </cell>
        </row>
        <row r="53">
          <cell r="B53" t="str">
            <v>Smoke</v>
          </cell>
        </row>
        <row r="54">
          <cell r="B54" t="str">
            <v>Shadow</v>
          </cell>
        </row>
        <row r="55">
          <cell r="B55" t="str">
            <v>Ash</v>
          </cell>
        </row>
        <row r="56">
          <cell r="B56" t="str">
            <v>Light Tan</v>
          </cell>
        </row>
        <row r="57">
          <cell r="B57" t="str">
            <v>Pale</v>
          </cell>
        </row>
        <row r="58">
          <cell r="B58" t="str">
            <v xml:space="preserve">Storm </v>
          </cell>
        </row>
        <row r="59">
          <cell r="B59" t="str">
            <v>Nickel</v>
          </cell>
        </row>
        <row r="60">
          <cell r="B60" t="str">
            <v>Black Watch</v>
          </cell>
        </row>
        <row r="61">
          <cell r="B61" t="str">
            <v>Grey/Teal</v>
          </cell>
        </row>
        <row r="62">
          <cell r="B62" t="str">
            <v>Winter Grey</v>
          </cell>
        </row>
        <row r="63">
          <cell r="B63" t="str">
            <v>Heather Grey</v>
          </cell>
        </row>
        <row r="64">
          <cell r="B64" t="str">
            <v>Iceland</v>
          </cell>
        </row>
        <row r="65">
          <cell r="B65" t="str">
            <v>Sandstone</v>
          </cell>
        </row>
        <row r="66">
          <cell r="B66" t="str">
            <v>Stone</v>
          </cell>
        </row>
        <row r="67">
          <cell r="B67" t="str">
            <v>Toast / Brown</v>
          </cell>
        </row>
        <row r="68">
          <cell r="B68" t="str">
            <v>Elephant</v>
          </cell>
        </row>
        <row r="69">
          <cell r="B69" t="str">
            <v>Lead</v>
          </cell>
        </row>
        <row r="70">
          <cell r="B70" t="str">
            <v>Dark Grey</v>
          </cell>
        </row>
        <row r="71">
          <cell r="B71" t="str">
            <v>Mid Grey</v>
          </cell>
        </row>
        <row r="72">
          <cell r="B72" t="str">
            <v>Light Grey</v>
          </cell>
        </row>
        <row r="73">
          <cell r="B73" t="str">
            <v>Anthracite</v>
          </cell>
        </row>
        <row r="74">
          <cell r="B74" t="str">
            <v>Flint</v>
          </cell>
        </row>
        <row r="75">
          <cell r="B75" t="str">
            <v>Pearl Grey</v>
          </cell>
        </row>
        <row r="76">
          <cell r="B76" t="str">
            <v>Seal</v>
          </cell>
        </row>
        <row r="77">
          <cell r="B77" t="str">
            <v>Platinum</v>
          </cell>
        </row>
        <row r="78">
          <cell r="B78" t="str">
            <v>Pewter</v>
          </cell>
        </row>
        <row r="79">
          <cell r="B79" t="str">
            <v>Slate</v>
          </cell>
        </row>
        <row r="80">
          <cell r="B80" t="str">
            <v>Oxide</v>
          </cell>
        </row>
        <row r="81">
          <cell r="B81" t="str">
            <v>Steel</v>
          </cell>
        </row>
        <row r="82">
          <cell r="B82" t="str">
            <v>Silver</v>
          </cell>
        </row>
        <row r="83">
          <cell r="B83" t="str">
            <v>Taupe/black</v>
          </cell>
        </row>
        <row r="84">
          <cell r="B84" t="str">
            <v>Charcoal/Brown</v>
          </cell>
        </row>
        <row r="85">
          <cell r="B85" t="str">
            <v>Black/Grey</v>
          </cell>
        </row>
        <row r="86">
          <cell r="B86" t="str">
            <v>Grey/Cream</v>
          </cell>
        </row>
        <row r="87">
          <cell r="B87" t="str">
            <v>Black/White</v>
          </cell>
        </row>
        <row r="88">
          <cell r="B88" t="str">
            <v>Brown/Black</v>
          </cell>
        </row>
        <row r="89">
          <cell r="B89" t="str">
            <v>Charcoal/Black</v>
          </cell>
        </row>
        <row r="90">
          <cell r="B90" t="str">
            <v>Grey/Brown</v>
          </cell>
        </row>
        <row r="91">
          <cell r="B91" t="str">
            <v>Acorn</v>
          </cell>
        </row>
        <row r="92">
          <cell r="B92" t="str">
            <v>Malt</v>
          </cell>
        </row>
        <row r="93">
          <cell r="B93" t="str">
            <v>Pine Cone</v>
          </cell>
        </row>
        <row r="94">
          <cell r="B94" t="str">
            <v>Café</v>
          </cell>
        </row>
        <row r="95">
          <cell r="B95" t="str">
            <v>Mocha</v>
          </cell>
        </row>
        <row r="96">
          <cell r="B96" t="str">
            <v>Redwood</v>
          </cell>
        </row>
        <row r="97">
          <cell r="B97" t="str">
            <v>Clove</v>
          </cell>
        </row>
        <row r="98">
          <cell r="B98" t="str">
            <v>Mahogany</v>
          </cell>
        </row>
        <row r="99">
          <cell r="B99" t="str">
            <v>Chestnut</v>
          </cell>
        </row>
        <row r="100">
          <cell r="B100" t="str">
            <v>Chocolate</v>
          </cell>
        </row>
        <row r="101">
          <cell r="B101" t="str">
            <v>Luggage</v>
          </cell>
        </row>
        <row r="102">
          <cell r="B102" t="str">
            <v>Brown</v>
          </cell>
        </row>
        <row r="103">
          <cell r="B103" t="str">
            <v>Bison</v>
          </cell>
        </row>
        <row r="104">
          <cell r="B104" t="str">
            <v>Bark</v>
          </cell>
        </row>
        <row r="105">
          <cell r="B105" t="str">
            <v>Toast</v>
          </cell>
        </row>
        <row r="106">
          <cell r="B106" t="str">
            <v>Earth</v>
          </cell>
        </row>
        <row r="107">
          <cell r="B107" t="str">
            <v>Rust</v>
          </cell>
        </row>
        <row r="108">
          <cell r="B108" t="str">
            <v>Russett</v>
          </cell>
        </row>
        <row r="109">
          <cell r="B109" t="str">
            <v>Teak</v>
          </cell>
        </row>
        <row r="110">
          <cell r="B110" t="str">
            <v>Raisin</v>
          </cell>
        </row>
        <row r="111">
          <cell r="B111" t="str">
            <v>Moleskin</v>
          </cell>
        </row>
        <row r="112">
          <cell r="B112" t="str">
            <v>Tobacco</v>
          </cell>
        </row>
        <row r="113">
          <cell r="B113" t="str">
            <v>Honey</v>
          </cell>
        </row>
        <row r="114">
          <cell r="B114" t="str">
            <v>Alpaca</v>
          </cell>
        </row>
        <row r="115">
          <cell r="B115" t="str">
            <v>Cognac</v>
          </cell>
        </row>
        <row r="116">
          <cell r="B116" t="str">
            <v>Burnt Orange</v>
          </cell>
        </row>
        <row r="117">
          <cell r="B117" t="str">
            <v>Granite</v>
          </cell>
        </row>
        <row r="118">
          <cell r="B118" t="str">
            <v>Amber</v>
          </cell>
        </row>
        <row r="119">
          <cell r="B119" t="str">
            <v>Gold</v>
          </cell>
        </row>
        <row r="120">
          <cell r="B120" t="str">
            <v>Cappuccino</v>
          </cell>
        </row>
        <row r="121">
          <cell r="B121" t="str">
            <v>Walnut</v>
          </cell>
        </row>
        <row r="122">
          <cell r="B122" t="str">
            <v>Coffee</v>
          </cell>
        </row>
        <row r="123">
          <cell r="B123" t="str">
            <v>Cinnamon</v>
          </cell>
        </row>
        <row r="124">
          <cell r="B124" t="str">
            <v>Sienna</v>
          </cell>
        </row>
        <row r="125">
          <cell r="B125" t="str">
            <v>Toffee</v>
          </cell>
        </row>
        <row r="126">
          <cell r="B126" t="str">
            <v>Nutmeg</v>
          </cell>
        </row>
        <row r="127">
          <cell r="B127" t="str">
            <v>Copper</v>
          </cell>
        </row>
        <row r="128">
          <cell r="B128" t="str">
            <v>Bronze</v>
          </cell>
        </row>
        <row r="129">
          <cell r="B129" t="str">
            <v>Buckskin</v>
          </cell>
        </row>
        <row r="130">
          <cell r="B130" t="str">
            <v>Brass</v>
          </cell>
        </row>
        <row r="131">
          <cell r="B131" t="str">
            <v xml:space="preserve">Nut   </v>
          </cell>
        </row>
        <row r="132">
          <cell r="B132" t="str">
            <v>Cocoa</v>
          </cell>
        </row>
        <row r="133">
          <cell r="B133" t="str">
            <v>Coconut</v>
          </cell>
        </row>
        <row r="134">
          <cell r="B134" t="str">
            <v>Mushroom</v>
          </cell>
        </row>
        <row r="135">
          <cell r="B135" t="str">
            <v>Hickory</v>
          </cell>
        </row>
        <row r="136">
          <cell r="B136" t="str">
            <v>Pumpkin</v>
          </cell>
        </row>
        <row r="137">
          <cell r="B137" t="str">
            <v>Caramel</v>
          </cell>
        </row>
        <row r="138">
          <cell r="B138" t="str">
            <v>Beige</v>
          </cell>
        </row>
        <row r="139">
          <cell r="B139" t="str">
            <v>Fawn</v>
          </cell>
        </row>
        <row r="140">
          <cell r="B140" t="str">
            <v>Oatmeal</v>
          </cell>
        </row>
        <row r="141">
          <cell r="B141" t="str">
            <v>String</v>
          </cell>
        </row>
        <row r="142">
          <cell r="B142" t="str">
            <v>Taupe</v>
          </cell>
        </row>
        <row r="143">
          <cell r="B143" t="str">
            <v>Seed</v>
          </cell>
        </row>
        <row r="144">
          <cell r="B144" t="str">
            <v>Sand</v>
          </cell>
        </row>
        <row r="145">
          <cell r="B145" t="str">
            <v xml:space="preserve">Oat   </v>
          </cell>
        </row>
        <row r="146">
          <cell r="B146" t="str">
            <v>Straw</v>
          </cell>
        </row>
        <row r="147">
          <cell r="B147" t="str">
            <v>Putty</v>
          </cell>
        </row>
        <row r="148">
          <cell r="B148" t="str">
            <v>Desert</v>
          </cell>
        </row>
        <row r="149">
          <cell r="B149" t="str">
            <v>Sable</v>
          </cell>
        </row>
        <row r="150">
          <cell r="B150" t="str">
            <v>Flax</v>
          </cell>
        </row>
        <row r="151">
          <cell r="B151" t="str">
            <v>Clay</v>
          </cell>
        </row>
        <row r="152">
          <cell r="B152" t="str">
            <v>Tan</v>
          </cell>
        </row>
        <row r="153">
          <cell r="B153" t="str">
            <v>Camel/Grey</v>
          </cell>
        </row>
        <row r="154">
          <cell r="B154" t="str">
            <v>Field</v>
          </cell>
        </row>
        <row r="155">
          <cell r="B155" t="str">
            <v>Black/Tan</v>
          </cell>
        </row>
        <row r="156">
          <cell r="B156" t="str">
            <v>Biscuit</v>
          </cell>
        </row>
        <row r="157">
          <cell r="B157" t="str">
            <v>Bone</v>
          </cell>
        </row>
        <row r="158">
          <cell r="B158" t="str">
            <v>Brown/Tan</v>
          </cell>
        </row>
        <row r="159">
          <cell r="B159" t="str">
            <v>Rope</v>
          </cell>
        </row>
        <row r="160">
          <cell r="B160" t="str">
            <v>Wheat</v>
          </cell>
        </row>
        <row r="161">
          <cell r="B161" t="str">
            <v>Medium Brown</v>
          </cell>
        </row>
        <row r="162">
          <cell r="B162" t="str">
            <v>Camel</v>
          </cell>
        </row>
        <row r="163">
          <cell r="B163" t="str">
            <v>Tan/Black</v>
          </cell>
        </row>
        <row r="164">
          <cell r="B164" t="str">
            <v>Maize</v>
          </cell>
        </row>
        <row r="165">
          <cell r="B165" t="str">
            <v>Yellow</v>
          </cell>
        </row>
        <row r="166">
          <cell r="B166" t="str">
            <v>Mustard</v>
          </cell>
        </row>
        <row r="167">
          <cell r="B167" t="str">
            <v>Tan/Olive</v>
          </cell>
        </row>
        <row r="168">
          <cell r="B168" t="str">
            <v>Logan Berry</v>
          </cell>
        </row>
        <row r="169">
          <cell r="B169" t="str">
            <v>Curry</v>
          </cell>
        </row>
        <row r="170">
          <cell r="B170" t="str">
            <v>Neutral</v>
          </cell>
        </row>
        <row r="171">
          <cell r="B171" t="str">
            <v>Topaz</v>
          </cell>
        </row>
        <row r="172">
          <cell r="B172" t="str">
            <v>Natural</v>
          </cell>
        </row>
        <row r="173">
          <cell r="B173" t="str">
            <v>Tan/Grey</v>
          </cell>
        </row>
        <row r="174">
          <cell r="B174" t="str">
            <v>Dijon</v>
          </cell>
        </row>
        <row r="175">
          <cell r="B175" t="str">
            <v>Senape</v>
          </cell>
        </row>
        <row r="176">
          <cell r="B176" t="str">
            <v>Vicuna</v>
          </cell>
        </row>
        <row r="177">
          <cell r="B177" t="str">
            <v>Saffron</v>
          </cell>
        </row>
        <row r="178">
          <cell r="B178" t="str">
            <v>Ecru</v>
          </cell>
        </row>
        <row r="179">
          <cell r="B179" t="str">
            <v>Citrus</v>
          </cell>
        </row>
        <row r="180">
          <cell r="B180" t="str">
            <v>Butter</v>
          </cell>
        </row>
        <row r="181">
          <cell r="B181" t="str">
            <v>Camel/Black</v>
          </cell>
        </row>
        <row r="182">
          <cell r="B182" t="str">
            <v>Molasses</v>
          </cell>
        </row>
        <row r="183">
          <cell r="B183" t="str">
            <v>Almond</v>
          </cell>
        </row>
        <row r="184">
          <cell r="B184" t="str">
            <v>Vanilla</v>
          </cell>
        </row>
        <row r="185">
          <cell r="B185" t="str">
            <v>Tea</v>
          </cell>
        </row>
        <row r="186">
          <cell r="B186" t="str">
            <v>Safari</v>
          </cell>
        </row>
        <row r="187">
          <cell r="B187" t="str">
            <v>Lentil</v>
          </cell>
        </row>
        <row r="188">
          <cell r="B188" t="str">
            <v>Rice paper</v>
          </cell>
        </row>
        <row r="189">
          <cell r="B189" t="str">
            <v>Sidewalk</v>
          </cell>
        </row>
        <row r="190">
          <cell r="B190" t="str">
            <v>Warm Grey</v>
          </cell>
        </row>
        <row r="191">
          <cell r="B191" t="str">
            <v>Pavement</v>
          </cell>
        </row>
        <row r="192">
          <cell r="B192" t="str">
            <v>Light</v>
          </cell>
        </row>
        <row r="193">
          <cell r="B193" t="str">
            <v>Butterscotch</v>
          </cell>
        </row>
        <row r="194">
          <cell r="B194" t="str">
            <v>Black/Taupe</v>
          </cell>
        </row>
        <row r="195">
          <cell r="B195" t="str">
            <v>Black/Toffee</v>
          </cell>
        </row>
        <row r="196">
          <cell r="B196" t="str">
            <v>Loft Grey</v>
          </cell>
        </row>
        <row r="197">
          <cell r="B197" t="str">
            <v>Bordeaux</v>
          </cell>
        </row>
        <row r="198">
          <cell r="B198" t="str">
            <v>Mole</v>
          </cell>
        </row>
        <row r="199">
          <cell r="B199" t="str">
            <v>chami</v>
          </cell>
        </row>
        <row r="200">
          <cell r="B200" t="str">
            <v>cacti</v>
          </cell>
        </row>
        <row r="201">
          <cell r="B201" t="str">
            <v>Wood</v>
          </cell>
        </row>
        <row r="202">
          <cell r="B202" t="str">
            <v>Navy</v>
          </cell>
        </row>
        <row r="203">
          <cell r="B203" t="str">
            <v>Navy/Camel</v>
          </cell>
        </row>
        <row r="204">
          <cell r="B204" t="str">
            <v>Navy/White</v>
          </cell>
        </row>
        <row r="205">
          <cell r="B205" t="str">
            <v>Powder Blue</v>
          </cell>
        </row>
        <row r="206">
          <cell r="B206" t="str">
            <v>Light Navy</v>
          </cell>
        </row>
        <row r="207">
          <cell r="B207" t="str">
            <v>Blueberry</v>
          </cell>
        </row>
        <row r="208">
          <cell r="B208" t="str">
            <v>Ice Blue</v>
          </cell>
        </row>
        <row r="209">
          <cell r="B209" t="str">
            <v>Ink</v>
          </cell>
        </row>
        <row r="210">
          <cell r="B210" t="str">
            <v>Storm Blue</v>
          </cell>
        </row>
        <row r="211">
          <cell r="B211" t="str">
            <v>Seafoam</v>
          </cell>
        </row>
        <row r="212">
          <cell r="B212" t="str">
            <v>Royal</v>
          </cell>
        </row>
        <row r="213">
          <cell r="B213" t="str">
            <v>Petrol</v>
          </cell>
        </row>
        <row r="214">
          <cell r="B214" t="str">
            <v>Iris</v>
          </cell>
        </row>
        <row r="215">
          <cell r="B215" t="str">
            <v>Sky</v>
          </cell>
        </row>
        <row r="216">
          <cell r="B216" t="str">
            <v>Denim</v>
          </cell>
        </row>
        <row r="217">
          <cell r="B217" t="str">
            <v>Oxford</v>
          </cell>
        </row>
        <row r="218">
          <cell r="B218" t="str">
            <v>Moody Blue</v>
          </cell>
        </row>
        <row r="219">
          <cell r="B219" t="str">
            <v>Blue/Black</v>
          </cell>
        </row>
        <row r="220">
          <cell r="B220" t="str">
            <v>Dusk Blue</v>
          </cell>
        </row>
        <row r="221">
          <cell r="B221" t="str">
            <v>Steel Blue</v>
          </cell>
        </row>
        <row r="222">
          <cell r="B222" t="str">
            <v>Teal Blue</v>
          </cell>
        </row>
        <row r="223">
          <cell r="B223" t="str">
            <v>Dark Navy</v>
          </cell>
        </row>
        <row r="224">
          <cell r="B224" t="str">
            <v>Petrol Blue</v>
          </cell>
        </row>
        <row r="225">
          <cell r="B225" t="str">
            <v>Cobalt</v>
          </cell>
        </row>
        <row r="226">
          <cell r="B226" t="str">
            <v>Paris Blue</v>
          </cell>
        </row>
        <row r="227">
          <cell r="B227" t="str">
            <v>Aqua</v>
          </cell>
        </row>
        <row r="228">
          <cell r="B228" t="str">
            <v>Ocean</v>
          </cell>
        </row>
        <row r="229">
          <cell r="B229" t="str">
            <v>Madori</v>
          </cell>
        </row>
        <row r="230">
          <cell r="B230" t="str">
            <v>Mineral</v>
          </cell>
        </row>
        <row r="231">
          <cell r="B231" t="str">
            <v>Black/spruce</v>
          </cell>
        </row>
        <row r="232">
          <cell r="B232" t="str">
            <v>Lapis</v>
          </cell>
        </row>
        <row r="233">
          <cell r="B233" t="str">
            <v>Chammy</v>
          </cell>
        </row>
        <row r="234">
          <cell r="B234" t="str">
            <v>Blue</v>
          </cell>
        </row>
        <row r="235">
          <cell r="B235" t="str">
            <v>Marine</v>
          </cell>
        </row>
        <row r="236">
          <cell r="B236" t="str">
            <v>Indigo</v>
          </cell>
        </row>
        <row r="237">
          <cell r="B237" t="str">
            <v>Cadet Blue</v>
          </cell>
        </row>
        <row r="238">
          <cell r="B238" t="str">
            <v>Black/Blue</v>
          </cell>
        </row>
        <row r="239">
          <cell r="B239" t="str">
            <v>Sapphire</v>
          </cell>
        </row>
        <row r="240">
          <cell r="B240" t="str">
            <v>Pale Turquoise</v>
          </cell>
        </row>
        <row r="241">
          <cell r="B241" t="str">
            <v>Stem</v>
          </cell>
        </row>
        <row r="242">
          <cell r="B242" t="str">
            <v>Green</v>
          </cell>
        </row>
        <row r="243">
          <cell r="B243" t="str">
            <v>Lawn</v>
          </cell>
        </row>
        <row r="244">
          <cell r="B244" t="str">
            <v>Pine</v>
          </cell>
        </row>
        <row r="245">
          <cell r="B245" t="str">
            <v>Turquoise</v>
          </cell>
        </row>
        <row r="246">
          <cell r="B246" t="str">
            <v>Spinach</v>
          </cell>
        </row>
        <row r="247">
          <cell r="B247" t="str">
            <v>Mint</v>
          </cell>
        </row>
        <row r="248">
          <cell r="B248" t="str">
            <v>Ice Mint</v>
          </cell>
        </row>
        <row r="249">
          <cell r="B249" t="str">
            <v>Leaf</v>
          </cell>
        </row>
        <row r="250">
          <cell r="B250" t="str">
            <v>Hunter</v>
          </cell>
        </row>
        <row r="251">
          <cell r="B251" t="str">
            <v>Basil</v>
          </cell>
        </row>
        <row r="252">
          <cell r="B252" t="str">
            <v>Celery</v>
          </cell>
        </row>
        <row r="253">
          <cell r="B253" t="str">
            <v>Ivy</v>
          </cell>
        </row>
        <row r="254">
          <cell r="B254" t="str">
            <v>Sage</v>
          </cell>
        </row>
        <row r="255">
          <cell r="B255" t="str">
            <v>Cactus</v>
          </cell>
        </row>
        <row r="256">
          <cell r="B256" t="str">
            <v>Meadow</v>
          </cell>
        </row>
        <row r="257">
          <cell r="B257" t="str">
            <v>Sagebrush</v>
          </cell>
        </row>
        <row r="258">
          <cell r="B258" t="str">
            <v>Verdant</v>
          </cell>
        </row>
        <row r="259">
          <cell r="B259" t="str">
            <v>Celadon</v>
          </cell>
        </row>
        <row r="260">
          <cell r="B260" t="str">
            <v>Avocado</v>
          </cell>
        </row>
        <row r="261">
          <cell r="B261" t="str">
            <v>Oregano</v>
          </cell>
        </row>
        <row r="262">
          <cell r="B262" t="str">
            <v>Peacock</v>
          </cell>
        </row>
        <row r="263">
          <cell r="B263" t="str">
            <v xml:space="preserve">Teal   </v>
          </cell>
        </row>
        <row r="264">
          <cell r="B264" t="str">
            <v>Emerald</v>
          </cell>
        </row>
        <row r="265">
          <cell r="B265" t="str">
            <v>Breen</v>
          </cell>
        </row>
        <row r="266">
          <cell r="B266" t="str">
            <v>Kelp</v>
          </cell>
        </row>
        <row r="267">
          <cell r="B267" t="str">
            <v xml:space="preserve">Jade </v>
          </cell>
        </row>
        <row r="268">
          <cell r="B268" t="str">
            <v>Bamboo</v>
          </cell>
        </row>
        <row r="269">
          <cell r="B269" t="str">
            <v>Aloe</v>
          </cell>
        </row>
        <row r="270">
          <cell r="B270" t="str">
            <v>Antique</v>
          </cell>
        </row>
        <row r="271">
          <cell r="B271" t="str">
            <v>Thyme</v>
          </cell>
        </row>
        <row r="272">
          <cell r="B272" t="str">
            <v>Olive/Cream</v>
          </cell>
        </row>
        <row r="273">
          <cell r="B273" t="str">
            <v>Soft Khaki</v>
          </cell>
        </row>
        <row r="274">
          <cell r="B274" t="str">
            <v>Olive/Tan</v>
          </cell>
        </row>
        <row r="275">
          <cell r="B275" t="str">
            <v>Bayleaf</v>
          </cell>
        </row>
        <row r="276">
          <cell r="B276" t="str">
            <v>Kiwi</v>
          </cell>
        </row>
        <row r="277">
          <cell r="B277" t="str">
            <v>Olive / Brown</v>
          </cell>
        </row>
        <row r="278">
          <cell r="B278" t="str">
            <v>Camel / Brown</v>
          </cell>
        </row>
        <row r="279">
          <cell r="B279" t="str">
            <v>Olive Drab</v>
          </cell>
        </row>
        <row r="280">
          <cell r="B280" t="str">
            <v>Dark Chocolate</v>
          </cell>
        </row>
        <row r="281">
          <cell r="B281" t="str">
            <v>Herb</v>
          </cell>
        </row>
        <row r="282">
          <cell r="B282" t="str">
            <v>Khaki</v>
          </cell>
        </row>
        <row r="283">
          <cell r="B283" t="str">
            <v>Palm</v>
          </cell>
        </row>
        <row r="284">
          <cell r="B284" t="str">
            <v>Mallard</v>
          </cell>
        </row>
        <row r="285">
          <cell r="B285" t="str">
            <v>Light Olive</v>
          </cell>
        </row>
        <row r="286">
          <cell r="B286" t="str">
            <v>Olive Rust</v>
          </cell>
        </row>
        <row r="287">
          <cell r="B287" t="str">
            <v>Dark Olive</v>
          </cell>
        </row>
        <row r="288">
          <cell r="B288" t="str">
            <v>Olive/Black</v>
          </cell>
        </row>
        <row r="289">
          <cell r="B289" t="str">
            <v>Brown/Olive</v>
          </cell>
        </row>
        <row r="290">
          <cell r="B290" t="str">
            <v>Grey/Olive</v>
          </cell>
        </row>
        <row r="291">
          <cell r="B291" t="str">
            <v>Army</v>
          </cell>
        </row>
        <row r="292">
          <cell r="B292" t="str">
            <v>Olive</v>
          </cell>
        </row>
        <row r="293">
          <cell r="B293" t="str">
            <v>Forest</v>
          </cell>
        </row>
        <row r="294">
          <cell r="B294" t="str">
            <v>Olive Oil</v>
          </cell>
        </row>
        <row r="295">
          <cell r="B295" t="str">
            <v>Black/Olive</v>
          </cell>
        </row>
        <row r="296">
          <cell r="B296" t="str">
            <v>Navy/Olive</v>
          </cell>
        </row>
        <row r="297">
          <cell r="B297" t="str">
            <v>Bottle</v>
          </cell>
        </row>
        <row r="298">
          <cell r="B298" t="str">
            <v>Moss</v>
          </cell>
        </row>
        <row r="299">
          <cell r="B299" t="str">
            <v>Zinc</v>
          </cell>
        </row>
        <row r="300">
          <cell r="B300" t="str">
            <v>Spruce</v>
          </cell>
        </row>
        <row r="301">
          <cell r="B301" t="str">
            <v>Loden</v>
          </cell>
        </row>
        <row r="302">
          <cell r="B302" t="str">
            <v>Willow</v>
          </cell>
        </row>
        <row r="303">
          <cell r="B303" t="str">
            <v>British Khaki</v>
          </cell>
        </row>
        <row r="304">
          <cell r="B304" t="str">
            <v>Black/Red</v>
          </cell>
        </row>
        <row r="305">
          <cell r="B305" t="str">
            <v>Red</v>
          </cell>
        </row>
        <row r="306">
          <cell r="B306" t="str">
            <v>Pimento</v>
          </cell>
        </row>
        <row r="307">
          <cell r="B307" t="str">
            <v>Paprika</v>
          </cell>
        </row>
        <row r="308">
          <cell r="B308" t="str">
            <v>Redwood/Black</v>
          </cell>
        </row>
        <row r="309">
          <cell r="B309" t="str">
            <v>Radicchio</v>
          </cell>
        </row>
        <row r="310">
          <cell r="B310" t="str">
            <v>Tomato</v>
          </cell>
        </row>
        <row r="311">
          <cell r="B311" t="str">
            <v>Terra Cotta</v>
          </cell>
        </row>
        <row r="312">
          <cell r="B312" t="str">
            <v>Oval Weave</v>
          </cell>
        </row>
        <row r="313">
          <cell r="B313" t="str">
            <v>Claret</v>
          </cell>
        </row>
        <row r="314">
          <cell r="B314" t="str">
            <v>Brick</v>
          </cell>
        </row>
        <row r="315">
          <cell r="B315" t="str">
            <v>Dusty Rose</v>
          </cell>
        </row>
        <row r="316">
          <cell r="B316" t="str">
            <v>Burgundy</v>
          </cell>
        </row>
        <row r="317">
          <cell r="B317" t="str">
            <v>Cordovan</v>
          </cell>
        </row>
        <row r="318">
          <cell r="B318" t="str">
            <v>Cranberry</v>
          </cell>
        </row>
        <row r="319">
          <cell r="B319" t="str">
            <v>Berry</v>
          </cell>
        </row>
        <row r="320">
          <cell r="B320" t="str">
            <v>Rose</v>
          </cell>
        </row>
        <row r="321">
          <cell r="B321" t="str">
            <v>Amethyst</v>
          </cell>
        </row>
        <row r="322">
          <cell r="B322" t="str">
            <v>Adobe</v>
          </cell>
        </row>
        <row r="323">
          <cell r="B323" t="str">
            <v>Maroon</v>
          </cell>
        </row>
        <row r="324">
          <cell r="B324" t="str">
            <v>Mauve</v>
          </cell>
        </row>
        <row r="325">
          <cell r="B325" t="str">
            <v>Eggplant</v>
          </cell>
        </row>
        <row r="326">
          <cell r="B326" t="str">
            <v>Aubergine</v>
          </cell>
        </row>
        <row r="327">
          <cell r="B327" t="str">
            <v>Wine</v>
          </cell>
        </row>
        <row r="328">
          <cell r="B328" t="str">
            <v>Plum</v>
          </cell>
        </row>
        <row r="329">
          <cell r="B329" t="str">
            <v>Grape</v>
          </cell>
        </row>
        <row r="330">
          <cell r="B330" t="str">
            <v>Boysenberry</v>
          </cell>
        </row>
        <row r="331">
          <cell r="B331" t="str">
            <v>Fuchsia</v>
          </cell>
        </row>
        <row r="332">
          <cell r="B332" t="str">
            <v>Shell Pink</v>
          </cell>
        </row>
        <row r="333">
          <cell r="B333" t="str">
            <v>Peach</v>
          </cell>
        </row>
        <row r="334">
          <cell r="B334" t="str">
            <v>Coral</v>
          </cell>
        </row>
        <row r="335">
          <cell r="B335" t="str">
            <v>Salmon</v>
          </cell>
        </row>
        <row r="336">
          <cell r="B336" t="str">
            <v>Desert Clay</v>
          </cell>
        </row>
        <row r="337">
          <cell r="B337" t="str">
            <v>Carnation</v>
          </cell>
        </row>
        <row r="338">
          <cell r="B338" t="str">
            <v>Pink</v>
          </cell>
        </row>
        <row r="339">
          <cell r="B339" t="str">
            <v>White</v>
          </cell>
        </row>
        <row r="340">
          <cell r="B340" t="str">
            <v>White/Camel</v>
          </cell>
        </row>
        <row r="341">
          <cell r="B341" t="str">
            <v>Soft White</v>
          </cell>
        </row>
        <row r="342">
          <cell r="B342" t="str">
            <v>Eggshell</v>
          </cell>
        </row>
        <row r="343">
          <cell r="B343" t="str">
            <v>Winter White</v>
          </cell>
        </row>
        <row r="344">
          <cell r="B344" t="str">
            <v>Ivory</v>
          </cell>
        </row>
        <row r="345">
          <cell r="B345" t="str">
            <v>Birch</v>
          </cell>
        </row>
        <row r="346">
          <cell r="B346" t="str">
            <v>Cream</v>
          </cell>
        </row>
        <row r="347">
          <cell r="B347" t="str">
            <v>Pearl</v>
          </cell>
        </row>
        <row r="348">
          <cell r="B348" t="str">
            <v>Canvas</v>
          </cell>
        </row>
        <row r="349">
          <cell r="B349" t="str">
            <v>Snow</v>
          </cell>
        </row>
        <row r="350">
          <cell r="B350" t="str">
            <v>Parchment</v>
          </cell>
        </row>
        <row r="351">
          <cell r="B351" t="str">
            <v>Oyster</v>
          </cell>
        </row>
        <row r="352">
          <cell r="B352" t="str">
            <v>Chalk</v>
          </cell>
        </row>
        <row r="353">
          <cell r="B353" t="str">
            <v>Cream/Black</v>
          </cell>
        </row>
        <row r="354">
          <cell r="B354" t="str">
            <v>Herringbone</v>
          </cell>
        </row>
        <row r="355">
          <cell r="B355" t="str">
            <v>Weave</v>
          </cell>
        </row>
        <row r="356">
          <cell r="B356" t="str">
            <v>Stepweave</v>
          </cell>
        </row>
        <row r="357">
          <cell r="B357" t="str">
            <v>Mini Plaid</v>
          </cell>
        </row>
        <row r="358">
          <cell r="B358" t="str">
            <v>Twist Weave</v>
          </cell>
        </row>
        <row r="359">
          <cell r="B359" t="str">
            <v>Chevron</v>
          </cell>
        </row>
        <row r="360">
          <cell r="B360" t="str">
            <v>Twill</v>
          </cell>
        </row>
        <row r="361">
          <cell r="B361" t="str">
            <v>Tic Weave</v>
          </cell>
        </row>
        <row r="362">
          <cell r="B362" t="str">
            <v>Plaid</v>
          </cell>
        </row>
        <row r="363">
          <cell r="B363" t="str">
            <v>Windowpane</v>
          </cell>
        </row>
        <row r="364">
          <cell r="B364" t="str">
            <v>Basketweave</v>
          </cell>
        </row>
        <row r="365">
          <cell r="B365" t="str">
            <v>Houndstooth</v>
          </cell>
        </row>
        <row r="366">
          <cell r="B366" t="str">
            <v>Shadow Plaid</v>
          </cell>
        </row>
        <row r="367">
          <cell r="B367" t="str">
            <v>Sharkskin</v>
          </cell>
        </row>
        <row r="368">
          <cell r="B368" t="str">
            <v>Pinpoint</v>
          </cell>
        </row>
        <row r="369">
          <cell r="B369" t="str">
            <v>Black/White Plaid</v>
          </cell>
        </row>
        <row r="370">
          <cell r="B370" t="str">
            <v>Marble</v>
          </cell>
        </row>
        <row r="371">
          <cell r="B371" t="str">
            <v>Birdseye</v>
          </cell>
        </row>
        <row r="372">
          <cell r="B372" t="str">
            <v>Check</v>
          </cell>
        </row>
        <row r="373">
          <cell r="B373" t="str">
            <v>Parquet</v>
          </cell>
        </row>
        <row r="374">
          <cell r="B374" t="str">
            <v>Crowsfoot</v>
          </cell>
        </row>
        <row r="375">
          <cell r="B375" t="str">
            <v>Cool</v>
          </cell>
        </row>
        <row r="376">
          <cell r="B376" t="str">
            <v>Chain Link</v>
          </cell>
        </row>
        <row r="377">
          <cell r="B377" t="str">
            <v>Pindot</v>
          </cell>
        </row>
        <row r="378">
          <cell r="B378" t="str">
            <v>Nailhead</v>
          </cell>
        </row>
        <row r="379">
          <cell r="B379" t="str">
            <v>Deco Weave</v>
          </cell>
        </row>
        <row r="380">
          <cell r="B380" t="str">
            <v>Black/Chalk</v>
          </cell>
        </row>
        <row r="381">
          <cell r="B381" t="str">
            <v>Diagonal Weave</v>
          </cell>
        </row>
        <row r="382">
          <cell r="B382" t="str">
            <v>Black/Charcoal</v>
          </cell>
        </row>
        <row r="385">
          <cell r="B385" t="str">
            <v>Deep Olive</v>
          </cell>
        </row>
        <row r="386">
          <cell r="B386" t="str">
            <v>Midnight Navy</v>
          </cell>
        </row>
        <row r="387">
          <cell r="B387" t="str">
            <v>Black/Navy</v>
          </cell>
        </row>
      </sheetData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UXE"/>
      <sheetName val="SOFT"/>
      <sheetName val="TAILORED"/>
      <sheetName val="BRAGGI"/>
      <sheetName val="WEEKEND"/>
      <sheetName val="LR2"/>
      <sheetName val="Colors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B2" t="str">
            <v>Black</v>
          </cell>
        </row>
        <row r="3">
          <cell r="B3" t="str">
            <v>Licorice</v>
          </cell>
        </row>
        <row r="4">
          <cell r="B4" t="str">
            <v>Natural / Black</v>
          </cell>
        </row>
        <row r="5">
          <cell r="B5" t="str">
            <v>Black / Brown</v>
          </cell>
        </row>
        <row r="6">
          <cell r="B6" t="str">
            <v>Suede</v>
          </cell>
        </row>
        <row r="7">
          <cell r="B7" t="str">
            <v>Midnight</v>
          </cell>
        </row>
        <row r="8">
          <cell r="B8" t="str">
            <v>Peat Moss</v>
          </cell>
        </row>
        <row r="9">
          <cell r="B9" t="str">
            <v>Officer Blue</v>
          </cell>
        </row>
        <row r="10">
          <cell r="B10" t="str">
            <v>Mink</v>
          </cell>
        </row>
        <row r="11">
          <cell r="B11" t="str">
            <v>Camel / Grey</v>
          </cell>
        </row>
        <row r="12">
          <cell r="B12" t="str">
            <v>Ebony</v>
          </cell>
        </row>
        <row r="13">
          <cell r="B13" t="str">
            <v>Charcoal / Navy</v>
          </cell>
        </row>
        <row r="14">
          <cell r="B14" t="str">
            <v>Black/Off White</v>
          </cell>
        </row>
        <row r="15">
          <cell r="B15" t="str">
            <v>Off White</v>
          </cell>
        </row>
        <row r="16">
          <cell r="B16" t="str">
            <v>Glass</v>
          </cell>
        </row>
        <row r="17">
          <cell r="B17" t="str">
            <v>Okra</v>
          </cell>
        </row>
        <row r="18">
          <cell r="B18" t="str">
            <v>Pure Black</v>
          </cell>
        </row>
        <row r="19">
          <cell r="B19" t="str">
            <v>Latte</v>
          </cell>
        </row>
        <row r="20">
          <cell r="B20" t="str">
            <v>Espresso</v>
          </cell>
        </row>
        <row r="21">
          <cell r="B21" t="str">
            <v>Smokey Brown</v>
          </cell>
        </row>
        <row r="22">
          <cell r="B22" t="str">
            <v>Deep Seafoam</v>
          </cell>
        </row>
        <row r="23">
          <cell r="B23" t="str">
            <v>Black Current</v>
          </cell>
        </row>
        <row r="24">
          <cell r="B24" t="str">
            <v>Oak</v>
          </cell>
        </row>
        <row r="25">
          <cell r="B25" t="str">
            <v>Monk</v>
          </cell>
        </row>
        <row r="26">
          <cell r="B26" t="str">
            <v>Zinc / Black</v>
          </cell>
        </row>
        <row r="27">
          <cell r="B27" t="str">
            <v>Brolive</v>
          </cell>
        </row>
        <row r="28">
          <cell r="B28" t="str">
            <v>Pebble</v>
          </cell>
        </row>
        <row r="29">
          <cell r="B29" t="str">
            <v>Winter White/Grey</v>
          </cell>
        </row>
        <row r="30">
          <cell r="B30" t="str">
            <v>Coffee Bean</v>
          </cell>
        </row>
        <row r="31">
          <cell r="B31" t="str">
            <v>Charcoal/Camel</v>
          </cell>
        </row>
        <row r="32">
          <cell r="B32" t="str">
            <v>Charcoal</v>
          </cell>
        </row>
        <row r="33">
          <cell r="B33" t="str">
            <v>Graphite</v>
          </cell>
        </row>
        <row r="34">
          <cell r="B34" t="str">
            <v>Black/Teal</v>
          </cell>
        </row>
        <row r="35">
          <cell r="B35" t="str">
            <v>Dark Charcoal</v>
          </cell>
        </row>
        <row r="36">
          <cell r="B36" t="str">
            <v>Navy/Grey</v>
          </cell>
        </row>
        <row r="37">
          <cell r="B37" t="str">
            <v>Caper</v>
          </cell>
        </row>
        <row r="38">
          <cell r="B38" t="str">
            <v>Ocher</v>
          </cell>
        </row>
        <row r="39">
          <cell r="B39" t="str">
            <v xml:space="preserve">Dusk     </v>
          </cell>
        </row>
        <row r="40">
          <cell r="B40" t="str">
            <v>Otter</v>
          </cell>
        </row>
        <row r="41">
          <cell r="B41" t="str">
            <v>Cub</v>
          </cell>
        </row>
        <row r="42">
          <cell r="B42" t="str">
            <v>Gunmetal</v>
          </cell>
        </row>
        <row r="43">
          <cell r="B43" t="str">
            <v>Fog</v>
          </cell>
        </row>
        <row r="44">
          <cell r="B44" t="str">
            <v>Coal</v>
          </cell>
        </row>
        <row r="45">
          <cell r="B45" t="str">
            <v>Mud</v>
          </cell>
        </row>
        <row r="46">
          <cell r="B46" t="str">
            <v>Tree</v>
          </cell>
        </row>
        <row r="47">
          <cell r="B47" t="str">
            <v>Cement</v>
          </cell>
        </row>
        <row r="48">
          <cell r="B48" t="str">
            <v>Charcoal/Blue</v>
          </cell>
        </row>
        <row r="49">
          <cell r="B49" t="str">
            <v>Cloud</v>
          </cell>
        </row>
        <row r="50">
          <cell r="B50" t="str">
            <v>Mist</v>
          </cell>
        </row>
        <row r="51">
          <cell r="B51" t="str">
            <v>Rock</v>
          </cell>
        </row>
        <row r="52">
          <cell r="B52" t="str">
            <v>Grey</v>
          </cell>
        </row>
        <row r="53">
          <cell r="B53" t="str">
            <v>Smoke</v>
          </cell>
        </row>
        <row r="54">
          <cell r="B54" t="str">
            <v>Shadow</v>
          </cell>
        </row>
        <row r="55">
          <cell r="B55" t="str">
            <v>Ash</v>
          </cell>
        </row>
        <row r="56">
          <cell r="B56" t="str">
            <v>Light Tan</v>
          </cell>
        </row>
        <row r="57">
          <cell r="B57" t="str">
            <v>Pale</v>
          </cell>
        </row>
        <row r="58">
          <cell r="B58" t="str">
            <v xml:space="preserve">Storm </v>
          </cell>
        </row>
        <row r="59">
          <cell r="B59" t="str">
            <v>Nickel</v>
          </cell>
        </row>
        <row r="60">
          <cell r="B60" t="str">
            <v>Black Watch</v>
          </cell>
        </row>
        <row r="61">
          <cell r="B61" t="str">
            <v>Grey/Teal</v>
          </cell>
        </row>
        <row r="62">
          <cell r="B62" t="str">
            <v>Winter Grey</v>
          </cell>
        </row>
        <row r="63">
          <cell r="B63" t="str">
            <v>Heather Grey</v>
          </cell>
        </row>
        <row r="64">
          <cell r="B64" t="str">
            <v>Iceland</v>
          </cell>
        </row>
        <row r="65">
          <cell r="B65" t="str">
            <v>Sandstone</v>
          </cell>
        </row>
        <row r="66">
          <cell r="B66" t="str">
            <v>Stone</v>
          </cell>
        </row>
        <row r="67">
          <cell r="B67" t="str">
            <v>Toast / Brown</v>
          </cell>
        </row>
        <row r="68">
          <cell r="B68" t="str">
            <v>Elephant</v>
          </cell>
        </row>
        <row r="69">
          <cell r="B69" t="str">
            <v>Lead</v>
          </cell>
        </row>
        <row r="70">
          <cell r="B70" t="str">
            <v>Dark Grey</v>
          </cell>
        </row>
        <row r="71">
          <cell r="B71" t="str">
            <v>Mid Grey</v>
          </cell>
        </row>
        <row r="72">
          <cell r="B72" t="str">
            <v>Light Grey</v>
          </cell>
        </row>
        <row r="73">
          <cell r="B73" t="str">
            <v>Anthracite</v>
          </cell>
        </row>
        <row r="74">
          <cell r="B74" t="str">
            <v>Flint</v>
          </cell>
        </row>
        <row r="75">
          <cell r="B75" t="str">
            <v>Pearl Grey</v>
          </cell>
        </row>
        <row r="76">
          <cell r="B76" t="str">
            <v>Seal</v>
          </cell>
        </row>
        <row r="77">
          <cell r="B77" t="str">
            <v>Platinum</v>
          </cell>
        </row>
        <row r="78">
          <cell r="B78" t="str">
            <v>Pewter</v>
          </cell>
        </row>
        <row r="79">
          <cell r="B79" t="str">
            <v>Slate</v>
          </cell>
        </row>
        <row r="80">
          <cell r="B80" t="str">
            <v>Oxide</v>
          </cell>
        </row>
        <row r="81">
          <cell r="B81" t="str">
            <v>Steel</v>
          </cell>
        </row>
        <row r="82">
          <cell r="B82" t="str">
            <v>Silver</v>
          </cell>
        </row>
        <row r="83">
          <cell r="B83" t="str">
            <v>Taupe/black</v>
          </cell>
        </row>
        <row r="84">
          <cell r="B84" t="str">
            <v>Charcoal/Brown</v>
          </cell>
        </row>
        <row r="85">
          <cell r="B85" t="str">
            <v>Black/Grey</v>
          </cell>
        </row>
        <row r="86">
          <cell r="B86" t="str">
            <v>Grey/Cream</v>
          </cell>
        </row>
        <row r="87">
          <cell r="B87" t="str">
            <v>Black/White</v>
          </cell>
        </row>
        <row r="88">
          <cell r="B88" t="str">
            <v>Brown/Black</v>
          </cell>
        </row>
        <row r="89">
          <cell r="B89" t="str">
            <v>Charcoal/Black</v>
          </cell>
        </row>
        <row r="90">
          <cell r="B90" t="str">
            <v>Grey/Brown</v>
          </cell>
        </row>
        <row r="91">
          <cell r="B91" t="str">
            <v>Acorn</v>
          </cell>
        </row>
        <row r="92">
          <cell r="B92" t="str">
            <v>Malt</v>
          </cell>
        </row>
        <row r="93">
          <cell r="B93" t="str">
            <v>Pine Cone</v>
          </cell>
        </row>
        <row r="94">
          <cell r="B94" t="str">
            <v>Café</v>
          </cell>
        </row>
        <row r="95">
          <cell r="B95" t="str">
            <v>Mocha</v>
          </cell>
        </row>
        <row r="96">
          <cell r="B96" t="str">
            <v>Redwood</v>
          </cell>
        </row>
        <row r="97">
          <cell r="B97" t="str">
            <v>Clove</v>
          </cell>
        </row>
        <row r="98">
          <cell r="B98" t="str">
            <v>Mahogany</v>
          </cell>
        </row>
        <row r="99">
          <cell r="B99" t="str">
            <v>Chestnut</v>
          </cell>
        </row>
        <row r="100">
          <cell r="B100" t="str">
            <v>Chocolate</v>
          </cell>
        </row>
        <row r="101">
          <cell r="B101" t="str">
            <v>Luggage</v>
          </cell>
        </row>
        <row r="102">
          <cell r="B102" t="str">
            <v>Brown</v>
          </cell>
        </row>
        <row r="103">
          <cell r="B103" t="str">
            <v>Bison</v>
          </cell>
        </row>
        <row r="104">
          <cell r="B104" t="str">
            <v>Bark</v>
          </cell>
        </row>
        <row r="105">
          <cell r="B105" t="str">
            <v>Toast</v>
          </cell>
        </row>
        <row r="106">
          <cell r="B106" t="str">
            <v>Earth</v>
          </cell>
        </row>
        <row r="107">
          <cell r="B107" t="str">
            <v>Rust</v>
          </cell>
        </row>
        <row r="108">
          <cell r="B108" t="str">
            <v>Russett</v>
          </cell>
        </row>
        <row r="109">
          <cell r="B109" t="str">
            <v>Teak</v>
          </cell>
        </row>
        <row r="110">
          <cell r="B110" t="str">
            <v>Raisin</v>
          </cell>
        </row>
        <row r="111">
          <cell r="B111" t="str">
            <v>Moleskin</v>
          </cell>
        </row>
        <row r="112">
          <cell r="B112" t="str">
            <v>Tobacco</v>
          </cell>
        </row>
        <row r="113">
          <cell r="B113" t="str">
            <v>Honey</v>
          </cell>
        </row>
        <row r="114">
          <cell r="B114" t="str">
            <v>Alpaca</v>
          </cell>
        </row>
        <row r="115">
          <cell r="B115" t="str">
            <v>Cognac</v>
          </cell>
        </row>
        <row r="116">
          <cell r="B116" t="str">
            <v>Burnt Orange</v>
          </cell>
        </row>
        <row r="117">
          <cell r="B117" t="str">
            <v>Granite</v>
          </cell>
        </row>
        <row r="118">
          <cell r="B118" t="str">
            <v>Amber</v>
          </cell>
        </row>
        <row r="119">
          <cell r="B119" t="str">
            <v>Gold</v>
          </cell>
        </row>
        <row r="120">
          <cell r="B120" t="str">
            <v>Cappuccino</v>
          </cell>
        </row>
        <row r="121">
          <cell r="B121" t="str">
            <v>Walnut</v>
          </cell>
        </row>
        <row r="122">
          <cell r="B122" t="str">
            <v>Coffee</v>
          </cell>
        </row>
        <row r="123">
          <cell r="B123" t="str">
            <v>Cinnamon</v>
          </cell>
        </row>
        <row r="124">
          <cell r="B124" t="str">
            <v>Sienna</v>
          </cell>
        </row>
        <row r="125">
          <cell r="B125" t="str">
            <v>Toffee</v>
          </cell>
        </row>
        <row r="126">
          <cell r="B126" t="str">
            <v>Nutmeg</v>
          </cell>
        </row>
        <row r="127">
          <cell r="B127" t="str">
            <v>Copper</v>
          </cell>
        </row>
        <row r="128">
          <cell r="B128" t="str">
            <v>Bronze</v>
          </cell>
        </row>
        <row r="129">
          <cell r="B129" t="str">
            <v>Buckskin</v>
          </cell>
        </row>
        <row r="130">
          <cell r="B130" t="str">
            <v>Brass</v>
          </cell>
        </row>
        <row r="131">
          <cell r="B131" t="str">
            <v xml:space="preserve">Nut   </v>
          </cell>
        </row>
        <row r="132">
          <cell r="B132" t="str">
            <v>Cocoa</v>
          </cell>
        </row>
        <row r="133">
          <cell r="B133" t="str">
            <v>Coconut</v>
          </cell>
        </row>
        <row r="134">
          <cell r="B134" t="str">
            <v>Mushroom</v>
          </cell>
        </row>
        <row r="135">
          <cell r="B135" t="str">
            <v>Hickory</v>
          </cell>
        </row>
        <row r="136">
          <cell r="B136" t="str">
            <v>Pumpkin</v>
          </cell>
        </row>
        <row r="137">
          <cell r="B137" t="str">
            <v>Caramel</v>
          </cell>
        </row>
        <row r="138">
          <cell r="B138" t="str">
            <v>Beige</v>
          </cell>
        </row>
        <row r="139">
          <cell r="B139" t="str">
            <v>Fawn</v>
          </cell>
        </row>
        <row r="140">
          <cell r="B140" t="str">
            <v>Oatmeal</v>
          </cell>
        </row>
        <row r="141">
          <cell r="B141" t="str">
            <v>String</v>
          </cell>
        </row>
        <row r="142">
          <cell r="B142" t="str">
            <v>Taupe</v>
          </cell>
        </row>
        <row r="143">
          <cell r="B143" t="str">
            <v>Seed</v>
          </cell>
        </row>
        <row r="144">
          <cell r="B144" t="str">
            <v>Sand</v>
          </cell>
        </row>
        <row r="145">
          <cell r="B145" t="str">
            <v xml:space="preserve">Oat   </v>
          </cell>
        </row>
        <row r="146">
          <cell r="B146" t="str">
            <v>Straw</v>
          </cell>
        </row>
        <row r="147">
          <cell r="B147" t="str">
            <v>Putty</v>
          </cell>
        </row>
        <row r="148">
          <cell r="B148" t="str">
            <v>Desert</v>
          </cell>
        </row>
        <row r="149">
          <cell r="B149" t="str">
            <v>Sable</v>
          </cell>
        </row>
        <row r="150">
          <cell r="B150" t="str">
            <v>Flax</v>
          </cell>
        </row>
        <row r="151">
          <cell r="B151" t="str">
            <v>Clay</v>
          </cell>
        </row>
        <row r="152">
          <cell r="B152" t="str">
            <v>Tan</v>
          </cell>
        </row>
        <row r="153">
          <cell r="B153" t="str">
            <v>Camel/Grey</v>
          </cell>
        </row>
        <row r="154">
          <cell r="B154" t="str">
            <v>Field</v>
          </cell>
        </row>
        <row r="155">
          <cell r="B155" t="str">
            <v>Black/Tan</v>
          </cell>
        </row>
        <row r="156">
          <cell r="B156" t="str">
            <v>Biscuit</v>
          </cell>
        </row>
        <row r="157">
          <cell r="B157" t="str">
            <v>Bone</v>
          </cell>
        </row>
        <row r="158">
          <cell r="B158" t="str">
            <v>Brown/Tan</v>
          </cell>
        </row>
        <row r="159">
          <cell r="B159" t="str">
            <v>Rope</v>
          </cell>
        </row>
        <row r="160">
          <cell r="B160" t="str">
            <v>Wheat</v>
          </cell>
        </row>
        <row r="161">
          <cell r="B161" t="str">
            <v>Medium Brown</v>
          </cell>
        </row>
        <row r="162">
          <cell r="B162" t="str">
            <v>Camel</v>
          </cell>
        </row>
        <row r="163">
          <cell r="B163" t="str">
            <v>Tan/Black</v>
          </cell>
        </row>
        <row r="164">
          <cell r="B164" t="str">
            <v>Maize</v>
          </cell>
        </row>
        <row r="165">
          <cell r="B165" t="str">
            <v>Yellow</v>
          </cell>
        </row>
        <row r="166">
          <cell r="B166" t="str">
            <v>Mustard</v>
          </cell>
        </row>
        <row r="167">
          <cell r="B167" t="str">
            <v>Tan/Olive</v>
          </cell>
        </row>
        <row r="168">
          <cell r="B168" t="str">
            <v>Logan Berry</v>
          </cell>
        </row>
        <row r="169">
          <cell r="B169" t="str">
            <v>Curry</v>
          </cell>
        </row>
        <row r="170">
          <cell r="B170" t="str">
            <v>Neutral</v>
          </cell>
        </row>
        <row r="171">
          <cell r="B171" t="str">
            <v>Topaz</v>
          </cell>
        </row>
        <row r="172">
          <cell r="B172" t="str">
            <v>Natural</v>
          </cell>
        </row>
        <row r="173">
          <cell r="B173" t="str">
            <v>Tan/Grey</v>
          </cell>
        </row>
        <row r="174">
          <cell r="B174" t="str">
            <v>Dijon</v>
          </cell>
        </row>
        <row r="175">
          <cell r="B175" t="str">
            <v>Senape</v>
          </cell>
        </row>
        <row r="176">
          <cell r="B176" t="str">
            <v>Vicuna</v>
          </cell>
        </row>
        <row r="177">
          <cell r="B177" t="str">
            <v>Saffron</v>
          </cell>
        </row>
        <row r="178">
          <cell r="B178" t="str">
            <v>Ecru</v>
          </cell>
        </row>
        <row r="179">
          <cell r="B179" t="str">
            <v>Citrus</v>
          </cell>
        </row>
        <row r="180">
          <cell r="B180" t="str">
            <v>Butter</v>
          </cell>
        </row>
        <row r="181">
          <cell r="B181" t="str">
            <v>Camel/Black</v>
          </cell>
        </row>
        <row r="182">
          <cell r="B182" t="str">
            <v>Molasses</v>
          </cell>
        </row>
        <row r="183">
          <cell r="B183" t="str">
            <v>Almond</v>
          </cell>
        </row>
        <row r="184">
          <cell r="B184" t="str">
            <v>Vanilla</v>
          </cell>
        </row>
        <row r="185">
          <cell r="B185" t="str">
            <v>Tea</v>
          </cell>
        </row>
        <row r="186">
          <cell r="B186" t="str">
            <v>Safari</v>
          </cell>
        </row>
        <row r="187">
          <cell r="B187" t="str">
            <v>Lentil</v>
          </cell>
        </row>
        <row r="188">
          <cell r="B188" t="str">
            <v>Rice paper</v>
          </cell>
        </row>
        <row r="189">
          <cell r="B189" t="str">
            <v>Sidewalk</v>
          </cell>
        </row>
        <row r="190">
          <cell r="B190" t="str">
            <v>Warm Grey</v>
          </cell>
        </row>
        <row r="191">
          <cell r="B191" t="str">
            <v>Pavement</v>
          </cell>
        </row>
        <row r="192">
          <cell r="B192" t="str">
            <v>Light</v>
          </cell>
        </row>
        <row r="193">
          <cell r="B193" t="str">
            <v>Butterscotch</v>
          </cell>
        </row>
        <row r="194">
          <cell r="B194" t="str">
            <v>Black/Taupe</v>
          </cell>
        </row>
        <row r="195">
          <cell r="B195" t="str">
            <v>Black/Toffee</v>
          </cell>
        </row>
        <row r="196">
          <cell r="B196" t="str">
            <v>Loft Grey</v>
          </cell>
        </row>
        <row r="197">
          <cell r="B197" t="str">
            <v>Bordeaux</v>
          </cell>
        </row>
        <row r="198">
          <cell r="B198" t="str">
            <v>Mole</v>
          </cell>
        </row>
        <row r="202">
          <cell r="B202" t="str">
            <v>Navy</v>
          </cell>
        </row>
        <row r="203">
          <cell r="B203" t="str">
            <v>Navy/Camel</v>
          </cell>
        </row>
        <row r="204">
          <cell r="B204" t="str">
            <v>Navy/White</v>
          </cell>
        </row>
        <row r="205">
          <cell r="B205" t="str">
            <v>Powder Blue</v>
          </cell>
        </row>
        <row r="206">
          <cell r="B206" t="str">
            <v>Light Navy</v>
          </cell>
        </row>
        <row r="207">
          <cell r="B207" t="str">
            <v>Blueberry</v>
          </cell>
        </row>
        <row r="208">
          <cell r="B208" t="str">
            <v>Ice Blue</v>
          </cell>
        </row>
        <row r="209">
          <cell r="B209" t="str">
            <v>Ink</v>
          </cell>
        </row>
        <row r="210">
          <cell r="B210" t="str">
            <v>Storm Blue</v>
          </cell>
        </row>
        <row r="211">
          <cell r="B211" t="str">
            <v>Seafoam</v>
          </cell>
        </row>
        <row r="212">
          <cell r="B212" t="str">
            <v>Royal</v>
          </cell>
        </row>
        <row r="213">
          <cell r="B213" t="str">
            <v>Petrol</v>
          </cell>
        </row>
        <row r="214">
          <cell r="B214" t="str">
            <v>Iris</v>
          </cell>
        </row>
        <row r="215">
          <cell r="B215" t="str">
            <v>Sky</v>
          </cell>
        </row>
        <row r="216">
          <cell r="B216" t="str">
            <v>Denim</v>
          </cell>
        </row>
        <row r="217">
          <cell r="B217" t="str">
            <v>Oxford</v>
          </cell>
        </row>
        <row r="218">
          <cell r="B218" t="str">
            <v>Moody Blue</v>
          </cell>
        </row>
        <row r="219">
          <cell r="B219" t="str">
            <v>Blue/Black</v>
          </cell>
        </row>
        <row r="220">
          <cell r="B220" t="str">
            <v>Dusk Blue</v>
          </cell>
        </row>
        <row r="221">
          <cell r="B221" t="str">
            <v>Steel Blue</v>
          </cell>
        </row>
        <row r="222">
          <cell r="B222" t="str">
            <v>Teal Blue</v>
          </cell>
        </row>
        <row r="223">
          <cell r="B223" t="str">
            <v>Dark Navy</v>
          </cell>
        </row>
        <row r="224">
          <cell r="B224" t="str">
            <v>Petrol Blue</v>
          </cell>
        </row>
        <row r="225">
          <cell r="B225" t="str">
            <v>Cobalt</v>
          </cell>
        </row>
        <row r="226">
          <cell r="B226" t="str">
            <v>Paris Blue</v>
          </cell>
        </row>
        <row r="227">
          <cell r="B227" t="str">
            <v>Aqua</v>
          </cell>
        </row>
        <row r="228">
          <cell r="B228" t="str">
            <v>Ocean</v>
          </cell>
        </row>
        <row r="229">
          <cell r="B229" t="str">
            <v>Madori</v>
          </cell>
        </row>
        <row r="230">
          <cell r="B230" t="str">
            <v>Mineral</v>
          </cell>
        </row>
        <row r="231">
          <cell r="B231" t="str">
            <v>Black/spruce</v>
          </cell>
        </row>
        <row r="232">
          <cell r="B232" t="str">
            <v>Lapis</v>
          </cell>
        </row>
        <row r="238">
          <cell r="B238" t="str">
            <v>Blue</v>
          </cell>
        </row>
        <row r="239">
          <cell r="B239" t="str">
            <v>Marine</v>
          </cell>
        </row>
        <row r="240">
          <cell r="B240" t="str">
            <v>Indigo</v>
          </cell>
        </row>
        <row r="241">
          <cell r="B241" t="str">
            <v>Cadet Blue</v>
          </cell>
        </row>
        <row r="247">
          <cell r="B247" t="str">
            <v>Black/Blue</v>
          </cell>
        </row>
        <row r="248">
          <cell r="B248" t="str">
            <v>Sapphire</v>
          </cell>
        </row>
        <row r="249">
          <cell r="B249" t="str">
            <v>Pale Turquoise</v>
          </cell>
        </row>
        <row r="252">
          <cell r="B252" t="str">
            <v>Stem</v>
          </cell>
        </row>
        <row r="253">
          <cell r="B253" t="str">
            <v>Green</v>
          </cell>
        </row>
        <row r="254">
          <cell r="B254" t="str">
            <v>Lawn</v>
          </cell>
        </row>
        <row r="255">
          <cell r="B255" t="str">
            <v>Pine</v>
          </cell>
        </row>
        <row r="256">
          <cell r="B256" t="str">
            <v>Turquoise</v>
          </cell>
        </row>
        <row r="257">
          <cell r="B257" t="str">
            <v>Spinach</v>
          </cell>
        </row>
        <row r="258">
          <cell r="B258" t="str">
            <v>Mint</v>
          </cell>
        </row>
        <row r="259">
          <cell r="B259" t="str">
            <v>Ice Mint</v>
          </cell>
        </row>
        <row r="260">
          <cell r="B260" t="str">
            <v>Leaf</v>
          </cell>
        </row>
        <row r="261">
          <cell r="B261" t="str">
            <v>Hunter</v>
          </cell>
        </row>
        <row r="262">
          <cell r="B262" t="str">
            <v>Basil</v>
          </cell>
        </row>
        <row r="263">
          <cell r="B263" t="str">
            <v>Celery</v>
          </cell>
        </row>
        <row r="264">
          <cell r="B264" t="str">
            <v>Ivy</v>
          </cell>
        </row>
        <row r="265">
          <cell r="B265" t="str">
            <v>Sage</v>
          </cell>
        </row>
        <row r="266">
          <cell r="B266" t="str">
            <v>Cactus</v>
          </cell>
        </row>
        <row r="267">
          <cell r="B267" t="str">
            <v>Meadow</v>
          </cell>
        </row>
        <row r="268">
          <cell r="B268" t="str">
            <v>Sagebrush</v>
          </cell>
        </row>
        <row r="269">
          <cell r="B269" t="str">
            <v>Verdant</v>
          </cell>
        </row>
        <row r="270">
          <cell r="B270" t="str">
            <v>Celadon</v>
          </cell>
        </row>
        <row r="271">
          <cell r="B271" t="str">
            <v>Avocado</v>
          </cell>
        </row>
        <row r="272">
          <cell r="B272" t="str">
            <v>Oregano</v>
          </cell>
        </row>
        <row r="273">
          <cell r="B273" t="str">
            <v>Peacock</v>
          </cell>
        </row>
        <row r="274">
          <cell r="B274" t="str">
            <v xml:space="preserve">Teal   </v>
          </cell>
        </row>
        <row r="275">
          <cell r="B275" t="str">
            <v>Emerald</v>
          </cell>
        </row>
        <row r="276">
          <cell r="B276" t="str">
            <v>Breen</v>
          </cell>
        </row>
        <row r="277">
          <cell r="B277" t="str">
            <v>Kelp</v>
          </cell>
        </row>
        <row r="278">
          <cell r="B278" t="str">
            <v xml:space="preserve">Jade </v>
          </cell>
        </row>
        <row r="279">
          <cell r="B279" t="str">
            <v>Bamboo</v>
          </cell>
        </row>
        <row r="280">
          <cell r="B280" t="str">
            <v>Aloe</v>
          </cell>
        </row>
        <row r="281">
          <cell r="B281" t="str">
            <v>Antique</v>
          </cell>
        </row>
        <row r="282">
          <cell r="B282" t="str">
            <v>Thyme</v>
          </cell>
        </row>
        <row r="283">
          <cell r="B283" t="str">
            <v>Olive/Cream</v>
          </cell>
        </row>
        <row r="284">
          <cell r="B284" t="str">
            <v>Soft Khaki</v>
          </cell>
        </row>
        <row r="285">
          <cell r="B285" t="str">
            <v>Olive/Tan</v>
          </cell>
        </row>
        <row r="286">
          <cell r="B286" t="str">
            <v>Bayleaf</v>
          </cell>
        </row>
        <row r="287">
          <cell r="B287" t="str">
            <v>Kiwi</v>
          </cell>
        </row>
        <row r="288">
          <cell r="B288" t="str">
            <v>Olive / Brown</v>
          </cell>
        </row>
        <row r="289">
          <cell r="B289" t="str">
            <v>Camel / Brown</v>
          </cell>
        </row>
        <row r="290">
          <cell r="B290" t="str">
            <v>Olive Drab</v>
          </cell>
        </row>
        <row r="291">
          <cell r="B291" t="str">
            <v>Dark Chocolate</v>
          </cell>
        </row>
        <row r="292">
          <cell r="B292" t="str">
            <v>Herb</v>
          </cell>
        </row>
        <row r="293">
          <cell r="B293" t="str">
            <v>Khaki</v>
          </cell>
        </row>
        <row r="294">
          <cell r="B294" t="str">
            <v>Palm</v>
          </cell>
        </row>
        <row r="295">
          <cell r="B295" t="str">
            <v>Mallard</v>
          </cell>
        </row>
        <row r="296">
          <cell r="B296" t="str">
            <v>Light Olive</v>
          </cell>
        </row>
        <row r="297">
          <cell r="B297" t="str">
            <v>Olive Rust</v>
          </cell>
        </row>
        <row r="298">
          <cell r="B298" t="str">
            <v>Dark Olive</v>
          </cell>
        </row>
        <row r="299">
          <cell r="B299" t="str">
            <v>Olive/Black</v>
          </cell>
        </row>
        <row r="300">
          <cell r="B300" t="str">
            <v>Brown/Olive</v>
          </cell>
        </row>
        <row r="301">
          <cell r="B301" t="str">
            <v>Grey/Olive</v>
          </cell>
        </row>
        <row r="302">
          <cell r="B302" t="str">
            <v>Army</v>
          </cell>
        </row>
        <row r="303">
          <cell r="B303" t="str">
            <v>Olive</v>
          </cell>
        </row>
        <row r="304">
          <cell r="B304" t="str">
            <v>Forest</v>
          </cell>
        </row>
        <row r="305">
          <cell r="B305" t="str">
            <v>Olive Oil</v>
          </cell>
        </row>
        <row r="306">
          <cell r="B306" t="str">
            <v>Black/Olive</v>
          </cell>
        </row>
        <row r="307">
          <cell r="B307" t="str">
            <v>Navy/Olive</v>
          </cell>
        </row>
        <row r="308">
          <cell r="B308" t="str">
            <v>Bottle</v>
          </cell>
        </row>
        <row r="309">
          <cell r="B309" t="str">
            <v>Moss</v>
          </cell>
        </row>
        <row r="310">
          <cell r="B310" t="str">
            <v>Zinc</v>
          </cell>
        </row>
        <row r="311">
          <cell r="B311" t="str">
            <v>Spruce</v>
          </cell>
        </row>
        <row r="312">
          <cell r="B312" t="str">
            <v>Loden</v>
          </cell>
        </row>
        <row r="313">
          <cell r="B313" t="str">
            <v>Willow</v>
          </cell>
        </row>
        <row r="314">
          <cell r="B314" t="str">
            <v>British Khaki</v>
          </cell>
        </row>
        <row r="315">
          <cell r="B315" t="str">
            <v>Black/Red</v>
          </cell>
        </row>
        <row r="316">
          <cell r="B316" t="str">
            <v>Red</v>
          </cell>
        </row>
        <row r="317">
          <cell r="B317" t="str">
            <v>Pimento</v>
          </cell>
        </row>
        <row r="318">
          <cell r="B318" t="str">
            <v>Paprika</v>
          </cell>
        </row>
        <row r="319">
          <cell r="B319" t="str">
            <v>Redwood/Black</v>
          </cell>
        </row>
        <row r="320">
          <cell r="B320" t="str">
            <v>Radicchio</v>
          </cell>
        </row>
        <row r="321">
          <cell r="B321" t="str">
            <v>Tomato</v>
          </cell>
        </row>
        <row r="322">
          <cell r="B322" t="str">
            <v>Terra Cotta</v>
          </cell>
        </row>
        <row r="323">
          <cell r="B323" t="str">
            <v>Oval Weave</v>
          </cell>
        </row>
        <row r="324">
          <cell r="B324" t="str">
            <v>Claret</v>
          </cell>
        </row>
        <row r="325">
          <cell r="B325" t="str">
            <v>Brick</v>
          </cell>
        </row>
        <row r="326">
          <cell r="B326" t="str">
            <v>Dusty Rose</v>
          </cell>
        </row>
        <row r="327">
          <cell r="B327" t="str">
            <v>Burgundy</v>
          </cell>
        </row>
        <row r="328">
          <cell r="B328" t="str">
            <v>Cordovan</v>
          </cell>
        </row>
        <row r="329">
          <cell r="B329" t="str">
            <v>Cranberry</v>
          </cell>
        </row>
        <row r="330">
          <cell r="B330" t="str">
            <v>Berry</v>
          </cell>
        </row>
        <row r="331">
          <cell r="B331" t="str">
            <v>Rose</v>
          </cell>
        </row>
        <row r="332">
          <cell r="B332" t="str">
            <v>Amethyst</v>
          </cell>
        </row>
        <row r="333">
          <cell r="B333" t="str">
            <v>Adobe</v>
          </cell>
        </row>
        <row r="334">
          <cell r="B334" t="str">
            <v>Maroon</v>
          </cell>
        </row>
        <row r="335">
          <cell r="B335" t="str">
            <v>Mauve</v>
          </cell>
        </row>
        <row r="336">
          <cell r="B336" t="str">
            <v>Eggplant</v>
          </cell>
        </row>
        <row r="337">
          <cell r="B337" t="str">
            <v>Aubergine</v>
          </cell>
        </row>
        <row r="338">
          <cell r="B338" t="str">
            <v>Wine</v>
          </cell>
        </row>
        <row r="339">
          <cell r="B339" t="str">
            <v>Plum</v>
          </cell>
        </row>
        <row r="340">
          <cell r="B340" t="str">
            <v>Grape</v>
          </cell>
        </row>
        <row r="341">
          <cell r="B341" t="str">
            <v>Boysenberry</v>
          </cell>
        </row>
        <row r="342">
          <cell r="B342" t="str">
            <v>Fuchsia</v>
          </cell>
        </row>
        <row r="343">
          <cell r="B343" t="str">
            <v>Shell Pink</v>
          </cell>
        </row>
        <row r="344">
          <cell r="B344" t="str">
            <v>Peach</v>
          </cell>
        </row>
        <row r="345">
          <cell r="B345" t="str">
            <v>Coral</v>
          </cell>
        </row>
        <row r="346">
          <cell r="B346" t="str">
            <v>Salmon</v>
          </cell>
        </row>
        <row r="347">
          <cell r="B347" t="str">
            <v>Desert Clay</v>
          </cell>
        </row>
        <row r="348">
          <cell r="B348" t="str">
            <v>Carnation</v>
          </cell>
        </row>
        <row r="349">
          <cell r="B349" t="str">
            <v>Pink</v>
          </cell>
        </row>
        <row r="350">
          <cell r="B350" t="str">
            <v>White</v>
          </cell>
        </row>
        <row r="351">
          <cell r="B351" t="str">
            <v>White/Camel</v>
          </cell>
        </row>
        <row r="352">
          <cell r="B352" t="str">
            <v>Soft White</v>
          </cell>
        </row>
        <row r="353">
          <cell r="B353" t="str">
            <v>Eggshell</v>
          </cell>
        </row>
        <row r="354">
          <cell r="B354" t="str">
            <v>Winter White</v>
          </cell>
        </row>
        <row r="355">
          <cell r="B355" t="str">
            <v>Ivory</v>
          </cell>
        </row>
        <row r="356">
          <cell r="B356" t="str">
            <v>Birch</v>
          </cell>
        </row>
        <row r="357">
          <cell r="B357" t="str">
            <v>Cream</v>
          </cell>
        </row>
        <row r="358">
          <cell r="B358" t="str">
            <v>Pearl</v>
          </cell>
        </row>
        <row r="359">
          <cell r="B359" t="str">
            <v>Canvas</v>
          </cell>
        </row>
        <row r="360">
          <cell r="B360" t="str">
            <v>Snow</v>
          </cell>
        </row>
        <row r="361">
          <cell r="B361" t="str">
            <v>Parchment</v>
          </cell>
        </row>
        <row r="362">
          <cell r="B362" t="str">
            <v>Oyster</v>
          </cell>
        </row>
        <row r="363">
          <cell r="B363" t="str">
            <v>Chalk</v>
          </cell>
        </row>
        <row r="364">
          <cell r="B364" t="str">
            <v>Cream/Black</v>
          </cell>
        </row>
        <row r="365">
          <cell r="B365" t="str">
            <v>Herringbone</v>
          </cell>
        </row>
        <row r="366">
          <cell r="B366" t="str">
            <v>Weave</v>
          </cell>
        </row>
        <row r="367">
          <cell r="B367" t="str">
            <v>Stepweave</v>
          </cell>
        </row>
        <row r="368">
          <cell r="B368" t="str">
            <v>Mini Plaid</v>
          </cell>
        </row>
        <row r="369">
          <cell r="B369" t="str">
            <v>Twist Weave</v>
          </cell>
        </row>
        <row r="370">
          <cell r="B370" t="str">
            <v>Chevron</v>
          </cell>
        </row>
        <row r="371">
          <cell r="B371" t="str">
            <v>Twill</v>
          </cell>
        </row>
        <row r="372">
          <cell r="B372" t="str">
            <v>Tic Weave</v>
          </cell>
        </row>
        <row r="373">
          <cell r="B373" t="str">
            <v>Plaid</v>
          </cell>
        </row>
        <row r="374">
          <cell r="B374" t="str">
            <v>Windowpane</v>
          </cell>
        </row>
        <row r="375">
          <cell r="B375" t="str">
            <v>Basketweave</v>
          </cell>
        </row>
        <row r="376">
          <cell r="B376" t="str">
            <v>Houndstooth</v>
          </cell>
        </row>
        <row r="377">
          <cell r="B377" t="str">
            <v>Shadow Plaid</v>
          </cell>
        </row>
        <row r="378">
          <cell r="B378" t="str">
            <v>Sharkskin</v>
          </cell>
        </row>
        <row r="379">
          <cell r="B379" t="str">
            <v>Pinpoint</v>
          </cell>
        </row>
        <row r="380">
          <cell r="B380" t="str">
            <v>Black/White Plaid</v>
          </cell>
        </row>
        <row r="381">
          <cell r="B381" t="str">
            <v>Marble</v>
          </cell>
        </row>
        <row r="382">
          <cell r="B382" t="str">
            <v>Birdseye</v>
          </cell>
        </row>
        <row r="383">
          <cell r="B383" t="str">
            <v>Check</v>
          </cell>
        </row>
        <row r="384">
          <cell r="B384" t="str">
            <v>Parquet</v>
          </cell>
        </row>
        <row r="385">
          <cell r="B385" t="str">
            <v>Crowsfoot</v>
          </cell>
        </row>
        <row r="386">
          <cell r="B386" t="str">
            <v>Cool</v>
          </cell>
        </row>
        <row r="387">
          <cell r="B387" t="str">
            <v>Chain Link</v>
          </cell>
        </row>
        <row r="388">
          <cell r="B388" t="str">
            <v>Pindot</v>
          </cell>
        </row>
        <row r="389">
          <cell r="B389" t="str">
            <v>Nailhead</v>
          </cell>
        </row>
        <row r="390">
          <cell r="B390" t="str">
            <v>Deco Weave</v>
          </cell>
        </row>
        <row r="391">
          <cell r="B391" t="str">
            <v>Black/Chalk</v>
          </cell>
        </row>
        <row r="392">
          <cell r="B392" t="str">
            <v>Diagonal Weave</v>
          </cell>
        </row>
        <row r="393">
          <cell r="B393" t="str">
            <v>Black/Charcoal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VC_출고의뢰"/>
      <sheetName val="SHIPPING MARK"/>
      <sheetName val="PACKING LIST"/>
      <sheetName val="KVC_출고의뢰 (2)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VC_출고의뢰"/>
      <sheetName val="SHIPPING MARK"/>
      <sheetName val="PACKING LIST"/>
      <sheetName val="KVC_출고의뢰 (2)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5D11-80F4-4002-A30B-B2D9878D47EF}">
  <sheetPr>
    <tabColor indexed="18"/>
  </sheetPr>
  <dimension ref="B1:J38"/>
  <sheetViews>
    <sheetView zoomScale="68" zoomScaleNormal="68" zoomScalePageLayoutView="55" workbookViewId="0">
      <selection activeCell="J12" sqref="J12"/>
    </sheetView>
  </sheetViews>
  <sheetFormatPr defaultColWidth="9.75" defaultRowHeight="17"/>
  <cols>
    <col min="1" max="1" width="2.5" style="1" customWidth="1"/>
    <col min="2" max="2" width="37.58203125" style="1" customWidth="1"/>
    <col min="3" max="3" width="15.58203125" style="10" customWidth="1"/>
    <col min="4" max="4" width="24.58203125" style="1" customWidth="1"/>
    <col min="5" max="5" width="7.58203125" style="1" customWidth="1"/>
    <col min="6" max="6" width="36.58203125" style="1" customWidth="1"/>
    <col min="7" max="8" width="15.58203125" style="1" customWidth="1"/>
    <col min="9" max="9" width="20.58203125" style="1" customWidth="1"/>
    <col min="10" max="10" width="30.58203125" style="1" customWidth="1"/>
    <col min="11" max="16" width="9.75" style="1" customWidth="1"/>
    <col min="17" max="20" width="9.75" style="1"/>
    <col min="21" max="37" width="9.75" style="1" customWidth="1"/>
    <col min="38" max="45" width="9.75" style="1"/>
    <col min="46" max="53" width="9.75" style="1" customWidth="1"/>
    <col min="54" max="16384" width="9.75" style="1"/>
  </cols>
  <sheetData>
    <row r="1" spans="2:10" ht="11.25" customHeight="1"/>
    <row r="2" spans="2:10" ht="33" customHeight="1">
      <c r="B2" s="50" t="s">
        <v>21</v>
      </c>
      <c r="C2" s="51"/>
      <c r="D2" s="51"/>
      <c r="F2" s="36" t="s">
        <v>0</v>
      </c>
      <c r="G2" s="52" t="s">
        <v>22</v>
      </c>
      <c r="H2" s="52"/>
      <c r="I2" s="22" t="s">
        <v>15</v>
      </c>
      <c r="J2" s="23">
        <v>46240</v>
      </c>
    </row>
    <row r="3" spans="2:10" ht="33" customHeight="1">
      <c r="B3" s="51"/>
      <c r="C3" s="51"/>
      <c r="D3" s="51"/>
      <c r="F3" s="36" t="s">
        <v>1</v>
      </c>
      <c r="G3" s="52" t="s">
        <v>23</v>
      </c>
      <c r="H3" s="52"/>
      <c r="I3" s="52"/>
      <c r="J3" s="52"/>
    </row>
    <row r="4" spans="2:10" ht="33" customHeight="1">
      <c r="B4" s="51"/>
      <c r="C4" s="51"/>
      <c r="D4" s="51"/>
      <c r="F4" s="36" t="s">
        <v>2</v>
      </c>
      <c r="G4" s="52" t="s">
        <v>24</v>
      </c>
      <c r="H4" s="52"/>
      <c r="I4" s="52"/>
      <c r="J4" s="52"/>
    </row>
    <row r="5" spans="2:10" ht="33" customHeight="1">
      <c r="B5" s="53" t="s">
        <v>16</v>
      </c>
      <c r="C5" s="53"/>
      <c r="D5" s="53"/>
      <c r="F5" s="36" t="s">
        <v>3</v>
      </c>
      <c r="G5" s="52" t="s">
        <v>25</v>
      </c>
      <c r="H5" s="52"/>
      <c r="I5" s="52"/>
      <c r="J5" s="52"/>
    </row>
    <row r="6" spans="2:10" ht="33" customHeight="1">
      <c r="B6" s="53"/>
      <c r="C6" s="53"/>
      <c r="D6" s="53"/>
      <c r="F6" s="36" t="s">
        <v>4</v>
      </c>
      <c r="G6" s="52">
        <v>8920</v>
      </c>
      <c r="H6" s="52"/>
      <c r="I6" s="52"/>
      <c r="J6" s="52"/>
    </row>
    <row r="7" spans="2:10" ht="10" customHeight="1">
      <c r="B7" s="25"/>
      <c r="C7" s="5"/>
      <c r="D7" s="5"/>
      <c r="F7" s="2"/>
      <c r="G7" s="2"/>
      <c r="H7" s="3"/>
      <c r="I7" s="4"/>
      <c r="J7" s="4"/>
    </row>
    <row r="8" spans="2:10" ht="24" customHeight="1">
      <c r="B8" s="38" t="s">
        <v>20</v>
      </c>
      <c r="C8" s="39"/>
      <c r="D8" s="39"/>
      <c r="E8" s="11"/>
      <c r="F8" s="38" t="s">
        <v>19</v>
      </c>
      <c r="G8" s="39"/>
      <c r="H8" s="39"/>
      <c r="I8" s="39"/>
      <c r="J8" s="40"/>
    </row>
    <row r="9" spans="2:10" ht="24" customHeight="1">
      <c r="B9" s="32" t="s">
        <v>5</v>
      </c>
      <c r="C9" s="32" t="s">
        <v>18</v>
      </c>
      <c r="D9" s="32" t="s">
        <v>6</v>
      </c>
      <c r="E9" s="11"/>
      <c r="F9" s="32" t="s">
        <v>5</v>
      </c>
      <c r="G9" s="32" t="s">
        <v>17</v>
      </c>
      <c r="H9" s="32" t="s">
        <v>7</v>
      </c>
      <c r="I9" s="32" t="s">
        <v>8</v>
      </c>
      <c r="J9" s="32" t="s">
        <v>6</v>
      </c>
    </row>
    <row r="10" spans="2:10" ht="24" customHeight="1">
      <c r="B10" s="12"/>
      <c r="C10" s="13"/>
      <c r="D10" s="12"/>
      <c r="E10" s="11"/>
      <c r="F10" s="14"/>
      <c r="G10" s="15"/>
      <c r="H10" s="16"/>
      <c r="I10" s="15"/>
      <c r="J10" s="17"/>
    </row>
    <row r="11" spans="2:10" ht="24" customHeight="1">
      <c r="B11" s="12" t="s">
        <v>26</v>
      </c>
      <c r="C11" s="13">
        <v>4290</v>
      </c>
      <c r="D11" s="12"/>
      <c r="E11" s="11"/>
      <c r="F11" s="12" t="str">
        <f>B11</f>
        <v>Ti 64 TUR</v>
      </c>
      <c r="G11" s="15">
        <v>4125</v>
      </c>
      <c r="H11" s="16"/>
      <c r="I11" s="16">
        <f>G11*H11</f>
        <v>0</v>
      </c>
      <c r="J11" s="37" t="s">
        <v>33</v>
      </c>
    </row>
    <row r="12" spans="2:10" ht="24" customHeight="1">
      <c r="B12" s="12"/>
      <c r="C12" s="13"/>
      <c r="D12" s="12"/>
      <c r="E12" s="11"/>
      <c r="F12" s="12" t="s">
        <v>32</v>
      </c>
      <c r="G12" s="15">
        <v>66</v>
      </c>
      <c r="H12" s="16"/>
      <c r="I12" s="16"/>
      <c r="J12" s="37"/>
    </row>
    <row r="13" spans="2:10" ht="24" customHeight="1">
      <c r="B13" s="12"/>
      <c r="C13" s="13"/>
      <c r="D13" s="12"/>
      <c r="E13" s="11"/>
      <c r="F13" s="12" t="s">
        <v>27</v>
      </c>
      <c r="G13" s="15">
        <v>99</v>
      </c>
      <c r="H13" s="16"/>
      <c r="I13" s="16"/>
      <c r="J13" s="37"/>
    </row>
    <row r="14" spans="2:10" ht="24" customHeight="1">
      <c r="B14" s="12"/>
      <c r="C14" s="13"/>
      <c r="D14" s="12"/>
      <c r="E14" s="11"/>
      <c r="F14" s="12"/>
      <c r="G14" s="15"/>
      <c r="H14" s="26"/>
      <c r="I14" s="26"/>
      <c r="J14" s="37"/>
    </row>
    <row r="15" spans="2:10" ht="24" customHeight="1">
      <c r="B15" s="12"/>
      <c r="C15" s="13"/>
      <c r="D15" s="12"/>
      <c r="E15" s="11"/>
      <c r="F15" s="12"/>
      <c r="G15" s="15"/>
      <c r="H15" s="16"/>
      <c r="I15" s="16"/>
      <c r="J15" s="37"/>
    </row>
    <row r="16" spans="2:10" ht="24" customHeight="1">
      <c r="B16" s="12"/>
      <c r="C16" s="13"/>
      <c r="D16" s="12"/>
      <c r="E16" s="11"/>
      <c r="F16" s="12"/>
      <c r="G16" s="15"/>
      <c r="H16" s="16"/>
      <c r="I16" s="16"/>
      <c r="J16" s="37"/>
    </row>
    <row r="17" spans="2:10" ht="24" customHeight="1">
      <c r="B17" s="12"/>
      <c r="C17" s="13"/>
      <c r="D17" s="12"/>
      <c r="E17" s="11"/>
      <c r="F17" s="12"/>
      <c r="G17" s="15"/>
      <c r="H17" s="26"/>
      <c r="I17" s="26"/>
      <c r="J17" s="37"/>
    </row>
    <row r="18" spans="2:10" ht="24" customHeight="1">
      <c r="B18" s="12"/>
      <c r="C18" s="13"/>
      <c r="D18" s="12"/>
      <c r="E18" s="11"/>
      <c r="F18" s="12"/>
      <c r="G18" s="15"/>
      <c r="H18" s="16"/>
      <c r="I18" s="16"/>
      <c r="J18" s="37"/>
    </row>
    <row r="19" spans="2:10" ht="24" customHeight="1">
      <c r="B19" s="12"/>
      <c r="C19" s="13"/>
      <c r="D19" s="12"/>
      <c r="E19" s="11"/>
      <c r="F19" s="12"/>
      <c r="G19" s="15"/>
      <c r="H19" s="16"/>
      <c r="I19" s="16"/>
      <c r="J19" s="37"/>
    </row>
    <row r="20" spans="2:10" ht="24" customHeight="1">
      <c r="B20" s="12"/>
      <c r="C20" s="13"/>
      <c r="D20" s="12"/>
      <c r="E20" s="11"/>
      <c r="F20" s="28"/>
      <c r="G20" s="27"/>
      <c r="H20" s="26"/>
      <c r="I20" s="26"/>
      <c r="J20" s="37"/>
    </row>
    <row r="21" spans="2:10" ht="24" customHeight="1">
      <c r="B21" s="12"/>
      <c r="C21" s="13"/>
      <c r="D21" s="12"/>
      <c r="E21" s="11"/>
      <c r="F21" s="12"/>
      <c r="G21" s="15"/>
      <c r="H21" s="16"/>
      <c r="I21" s="16"/>
      <c r="J21" s="17"/>
    </row>
    <row r="22" spans="2:10" ht="24" customHeight="1">
      <c r="B22" s="12"/>
      <c r="C22" s="13"/>
      <c r="D22" s="12"/>
      <c r="E22" s="11"/>
      <c r="F22" s="28"/>
      <c r="G22" s="27"/>
      <c r="H22" s="26"/>
      <c r="I22" s="26"/>
      <c r="J22" s="17"/>
    </row>
    <row r="23" spans="2:10" ht="24" customHeight="1">
      <c r="B23" s="12"/>
      <c r="C23" s="13"/>
      <c r="D23" s="12"/>
      <c r="E23" s="11"/>
      <c r="F23" s="12"/>
      <c r="G23" s="15"/>
      <c r="H23" s="16"/>
      <c r="I23" s="16"/>
      <c r="J23" s="17"/>
    </row>
    <row r="24" spans="2:10" ht="24" customHeight="1">
      <c r="B24" s="12"/>
      <c r="C24" s="13"/>
      <c r="D24" s="12"/>
      <c r="E24" s="11"/>
      <c r="F24" s="12"/>
      <c r="G24" s="27"/>
      <c r="H24" s="26"/>
      <c r="I24" s="16"/>
      <c r="J24" s="17"/>
    </row>
    <row r="25" spans="2:10" ht="24" customHeight="1">
      <c r="B25" s="12"/>
      <c r="C25" s="13"/>
      <c r="D25" s="12"/>
      <c r="E25" s="11"/>
      <c r="F25" s="12"/>
      <c r="G25" s="15"/>
      <c r="H25" s="16"/>
      <c r="I25" s="16"/>
      <c r="J25" s="17"/>
    </row>
    <row r="26" spans="2:10" ht="24" customHeight="1">
      <c r="B26" s="17"/>
      <c r="C26" s="15"/>
      <c r="D26" s="15"/>
      <c r="E26" s="11"/>
      <c r="F26" s="14"/>
      <c r="G26" s="15"/>
      <c r="H26" s="15" t="s">
        <v>13</v>
      </c>
      <c r="I26" s="15">
        <f>SUM(I10:I25)</f>
        <v>0</v>
      </c>
      <c r="J26" s="17"/>
    </row>
    <row r="27" spans="2:10" ht="24" customHeight="1">
      <c r="B27" s="18"/>
      <c r="C27" s="34"/>
      <c r="D27" s="34"/>
      <c r="E27" s="11"/>
      <c r="F27" s="14"/>
      <c r="G27" s="15"/>
      <c r="H27" s="15" t="s">
        <v>14</v>
      </c>
      <c r="I27" s="15">
        <f>I26*10%</f>
        <v>0</v>
      </c>
      <c r="J27" s="18"/>
    </row>
    <row r="28" spans="2:10" ht="24" customHeight="1">
      <c r="B28" s="35" t="s">
        <v>8</v>
      </c>
      <c r="C28" s="34">
        <f>SUM(C10:C27)</f>
        <v>4290</v>
      </c>
      <c r="D28" s="34"/>
      <c r="E28" s="33"/>
      <c r="F28" s="32"/>
      <c r="G28" s="19">
        <f>SUM(G10:G27)</f>
        <v>4290</v>
      </c>
      <c r="H28" s="19"/>
      <c r="I28" s="20" t="s">
        <v>9</v>
      </c>
      <c r="J28" s="20">
        <f>I26+I27</f>
        <v>0</v>
      </c>
    </row>
    <row r="29" spans="2:10" ht="15" customHeight="1" thickBot="1">
      <c r="B29" s="9"/>
      <c r="C29" s="24"/>
      <c r="D29" s="24"/>
      <c r="E29" s="6"/>
      <c r="F29" s="9"/>
      <c r="G29" s="24"/>
      <c r="H29" s="24"/>
      <c r="I29" s="7"/>
      <c r="J29" s="7"/>
    </row>
    <row r="30" spans="2:10" ht="45" customHeight="1" thickBot="1">
      <c r="B30" s="41" t="s">
        <v>28</v>
      </c>
      <c r="C30" s="42"/>
      <c r="D30" s="42"/>
      <c r="E30" s="42"/>
      <c r="F30" s="43"/>
      <c r="G30" s="30"/>
      <c r="H30" s="29"/>
      <c r="I30" s="7"/>
      <c r="J30" s="21" t="s">
        <v>10</v>
      </c>
    </row>
    <row r="31" spans="2:10" ht="45" customHeight="1">
      <c r="B31" s="44"/>
      <c r="C31" s="45"/>
      <c r="D31" s="45"/>
      <c r="E31" s="45"/>
      <c r="F31" s="46"/>
      <c r="G31" s="30"/>
      <c r="H31" s="29"/>
      <c r="J31" s="31" t="s">
        <v>11</v>
      </c>
    </row>
    <row r="32" spans="2:10" ht="45" customHeight="1" thickBot="1">
      <c r="B32" s="47"/>
      <c r="C32" s="48"/>
      <c r="D32" s="48"/>
      <c r="E32" s="48"/>
      <c r="F32" s="49"/>
      <c r="G32" s="30"/>
      <c r="H32" s="29"/>
      <c r="J32" s="8" t="s">
        <v>12</v>
      </c>
    </row>
    <row r="33" ht="16.5" customHeight="1"/>
    <row r="34" ht="16.5" customHeight="1"/>
    <row r="35" ht="16.5" customHeight="1"/>
    <row r="36" ht="16.5" customHeight="1"/>
    <row r="37" ht="16.5" customHeight="1"/>
    <row r="38" ht="16.5" customHeight="1"/>
  </sheetData>
  <mergeCells count="10">
    <mergeCell ref="B30:F32"/>
    <mergeCell ref="B8:D8"/>
    <mergeCell ref="F8:J8"/>
    <mergeCell ref="B2:D4"/>
    <mergeCell ref="G2:H2"/>
    <mergeCell ref="G3:J3"/>
    <mergeCell ref="G4:J4"/>
    <mergeCell ref="B5:D6"/>
    <mergeCell ref="G5:J5"/>
    <mergeCell ref="G6:J6"/>
  </mergeCells>
  <phoneticPr fontId="2" type="noConversion"/>
  <pageMargins left="0.59055118110236227" right="0.59055118110236227" top="0.51181102362204722" bottom="0.51181102362204722" header="0.31496062992125984" footer="0.31496062992125984"/>
  <pageSetup paperSize="9" scale="5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8DCA-04E3-49E1-80BE-BA0535619566}">
  <sheetPr>
    <tabColor indexed="18"/>
  </sheetPr>
  <dimension ref="B1:J38"/>
  <sheetViews>
    <sheetView tabSelected="1" zoomScale="68" zoomScaleNormal="68" zoomScalePageLayoutView="55" workbookViewId="0">
      <selection activeCell="F11" sqref="F11"/>
    </sheetView>
  </sheetViews>
  <sheetFormatPr defaultColWidth="9.75" defaultRowHeight="17"/>
  <cols>
    <col min="1" max="1" width="2.5" style="1" customWidth="1"/>
    <col min="2" max="2" width="37.58203125" style="1" customWidth="1"/>
    <col min="3" max="3" width="15.58203125" style="10" customWidth="1"/>
    <col min="4" max="4" width="24.58203125" style="1" customWidth="1"/>
    <col min="5" max="5" width="7.58203125" style="1" customWidth="1"/>
    <col min="6" max="6" width="36.58203125" style="1" customWidth="1"/>
    <col min="7" max="8" width="15.58203125" style="1" customWidth="1"/>
    <col min="9" max="9" width="20.58203125" style="1" customWidth="1"/>
    <col min="10" max="10" width="30.58203125" style="1" customWidth="1"/>
    <col min="11" max="16" width="9.75" style="1" customWidth="1"/>
    <col min="17" max="20" width="9.75" style="1"/>
    <col min="21" max="37" width="9.75" style="1" customWidth="1"/>
    <col min="38" max="45" width="9.75" style="1"/>
    <col min="46" max="53" width="9.75" style="1" customWidth="1"/>
    <col min="54" max="16384" width="9.75" style="1"/>
  </cols>
  <sheetData>
    <row r="1" spans="2:10" ht="11.25" customHeight="1"/>
    <row r="2" spans="2:10" ht="33" customHeight="1">
      <c r="B2" s="50" t="s">
        <v>21</v>
      </c>
      <c r="C2" s="51"/>
      <c r="D2" s="51"/>
      <c r="F2" s="36" t="s">
        <v>0</v>
      </c>
      <c r="G2" s="52" t="s">
        <v>22</v>
      </c>
      <c r="H2" s="52"/>
      <c r="I2" s="22" t="s">
        <v>15</v>
      </c>
      <c r="J2" s="23">
        <v>46240</v>
      </c>
    </row>
    <row r="3" spans="2:10" ht="33" customHeight="1">
      <c r="B3" s="51"/>
      <c r="C3" s="51"/>
      <c r="D3" s="51"/>
      <c r="F3" s="36" t="s">
        <v>1</v>
      </c>
      <c r="G3" s="52" t="s">
        <v>23</v>
      </c>
      <c r="H3" s="52"/>
      <c r="I3" s="52"/>
      <c r="J3" s="52"/>
    </row>
    <row r="4" spans="2:10" ht="33" customHeight="1">
      <c r="B4" s="51"/>
      <c r="C4" s="51"/>
      <c r="D4" s="51"/>
      <c r="F4" s="36" t="s">
        <v>2</v>
      </c>
      <c r="G4" s="52" t="s">
        <v>24</v>
      </c>
      <c r="H4" s="52"/>
      <c r="I4" s="52"/>
      <c r="J4" s="52"/>
    </row>
    <row r="5" spans="2:10" ht="33" customHeight="1">
      <c r="B5" s="53" t="s">
        <v>16</v>
      </c>
      <c r="C5" s="53"/>
      <c r="D5" s="53"/>
      <c r="F5" s="36" t="s">
        <v>3</v>
      </c>
      <c r="G5" s="52" t="s">
        <v>25</v>
      </c>
      <c r="H5" s="52"/>
      <c r="I5" s="52"/>
      <c r="J5" s="52"/>
    </row>
    <row r="6" spans="2:10" ht="33" customHeight="1">
      <c r="B6" s="53"/>
      <c r="C6" s="53"/>
      <c r="D6" s="53"/>
      <c r="F6" s="36" t="s">
        <v>4</v>
      </c>
      <c r="G6" s="52">
        <v>8920</v>
      </c>
      <c r="H6" s="52"/>
      <c r="I6" s="52"/>
      <c r="J6" s="52"/>
    </row>
    <row r="7" spans="2:10" ht="10" customHeight="1">
      <c r="B7" s="25"/>
      <c r="C7" s="5"/>
      <c r="D7" s="5"/>
      <c r="F7" s="2"/>
      <c r="G7" s="2"/>
      <c r="H7" s="3"/>
      <c r="I7" s="4"/>
      <c r="J7" s="4"/>
    </row>
    <row r="8" spans="2:10" ht="24" customHeight="1">
      <c r="B8" s="38" t="s">
        <v>20</v>
      </c>
      <c r="C8" s="39"/>
      <c r="D8" s="39"/>
      <c r="E8" s="11"/>
      <c r="F8" s="38" t="s">
        <v>19</v>
      </c>
      <c r="G8" s="39"/>
      <c r="H8" s="39"/>
      <c r="I8" s="39"/>
      <c r="J8" s="40"/>
    </row>
    <row r="9" spans="2:10" ht="24" customHeight="1">
      <c r="B9" s="32" t="s">
        <v>5</v>
      </c>
      <c r="C9" s="32" t="s">
        <v>18</v>
      </c>
      <c r="D9" s="32" t="s">
        <v>6</v>
      </c>
      <c r="E9" s="11"/>
      <c r="F9" s="32" t="s">
        <v>5</v>
      </c>
      <c r="G9" s="32" t="s">
        <v>17</v>
      </c>
      <c r="H9" s="32" t="s">
        <v>7</v>
      </c>
      <c r="I9" s="32" t="s">
        <v>8</v>
      </c>
      <c r="J9" s="32" t="s">
        <v>6</v>
      </c>
    </row>
    <row r="10" spans="2:10" ht="24" customHeight="1">
      <c r="B10" s="12"/>
      <c r="C10" s="13"/>
      <c r="D10" s="12"/>
      <c r="E10" s="11"/>
      <c r="F10" s="14"/>
      <c r="G10" s="15"/>
      <c r="H10" s="16"/>
      <c r="I10" s="15"/>
      <c r="J10" s="17"/>
    </row>
    <row r="11" spans="2:10" ht="24" customHeight="1">
      <c r="B11" s="12" t="s">
        <v>29</v>
      </c>
      <c r="C11" s="13"/>
      <c r="D11" s="12"/>
      <c r="E11" s="11"/>
      <c r="F11" s="12"/>
      <c r="G11" s="15"/>
      <c r="H11" s="16"/>
      <c r="I11" s="16"/>
      <c r="J11" s="37"/>
    </row>
    <row r="12" spans="2:10" ht="24" customHeight="1">
      <c r="B12" s="12" t="s">
        <v>26</v>
      </c>
      <c r="C12" s="13">
        <v>5200</v>
      </c>
      <c r="D12" s="12"/>
      <c r="E12" s="11"/>
      <c r="F12" s="12" t="str">
        <f>B12</f>
        <v>Ti 64 TUR</v>
      </c>
      <c r="G12" s="15">
        <v>5060</v>
      </c>
      <c r="H12" s="16">
        <v>3000</v>
      </c>
      <c r="I12" s="16">
        <f>G12*H12</f>
        <v>15180000</v>
      </c>
      <c r="J12" s="37"/>
    </row>
    <row r="13" spans="2:10" ht="24" customHeight="1">
      <c r="B13" s="12"/>
      <c r="C13" s="13"/>
      <c r="D13" s="12"/>
      <c r="E13" s="11"/>
      <c r="F13" s="12" t="s">
        <v>31</v>
      </c>
      <c r="G13" s="15">
        <v>140</v>
      </c>
      <c r="H13" s="16"/>
      <c r="I13" s="16"/>
      <c r="J13" s="37"/>
    </row>
    <row r="14" spans="2:10" ht="24" customHeight="1">
      <c r="B14" s="12"/>
      <c r="C14" s="13"/>
      <c r="D14" s="12"/>
      <c r="E14" s="11"/>
      <c r="F14" s="12"/>
      <c r="G14" s="15"/>
      <c r="H14" s="26"/>
      <c r="I14" s="26"/>
      <c r="J14" s="37"/>
    </row>
    <row r="15" spans="2:10" ht="24" customHeight="1">
      <c r="B15" s="12" t="s">
        <v>30</v>
      </c>
      <c r="C15" s="13"/>
      <c r="D15" s="12"/>
      <c r="E15" s="11"/>
      <c r="F15" s="12"/>
      <c r="G15" s="15"/>
      <c r="H15" s="26"/>
      <c r="I15" s="26"/>
      <c r="J15" s="37"/>
    </row>
    <row r="16" spans="2:10" ht="24" customHeight="1">
      <c r="B16" s="12" t="s">
        <v>26</v>
      </c>
      <c r="C16" s="13">
        <v>4290</v>
      </c>
      <c r="D16" s="12"/>
      <c r="E16" s="11"/>
      <c r="F16" s="12" t="str">
        <f>B16</f>
        <v>Ti 64 TUR</v>
      </c>
      <c r="G16" s="15">
        <v>4191</v>
      </c>
      <c r="H16" s="16">
        <v>1600</v>
      </c>
      <c r="I16" s="16">
        <f>G16*H16</f>
        <v>6705600</v>
      </c>
      <c r="J16" s="37"/>
    </row>
    <row r="17" spans="2:10" ht="24" customHeight="1">
      <c r="B17" s="12"/>
      <c r="C17" s="13"/>
      <c r="D17" s="12"/>
      <c r="E17" s="11"/>
      <c r="F17" s="12" t="s">
        <v>27</v>
      </c>
      <c r="G17" s="15">
        <v>99</v>
      </c>
      <c r="H17" s="16"/>
      <c r="I17" s="16"/>
      <c r="J17" s="37"/>
    </row>
    <row r="18" spans="2:10" ht="24" customHeight="1">
      <c r="B18" s="12"/>
      <c r="C18" s="13"/>
      <c r="D18" s="12"/>
      <c r="E18" s="11"/>
      <c r="F18" s="12"/>
      <c r="G18" s="15"/>
      <c r="H18" s="16"/>
      <c r="I18" s="16"/>
      <c r="J18" s="37"/>
    </row>
    <row r="19" spans="2:10" ht="24" customHeight="1">
      <c r="B19" s="12"/>
      <c r="C19" s="13"/>
      <c r="D19" s="12"/>
      <c r="E19" s="11"/>
      <c r="F19" s="12"/>
      <c r="G19" s="15"/>
      <c r="H19" s="16"/>
      <c r="I19" s="16"/>
      <c r="J19" s="37"/>
    </row>
    <row r="20" spans="2:10" ht="24" customHeight="1">
      <c r="B20" s="12"/>
      <c r="C20" s="13"/>
      <c r="D20" s="12"/>
      <c r="E20" s="11"/>
      <c r="F20" s="28"/>
      <c r="G20" s="27"/>
      <c r="H20" s="26"/>
      <c r="I20" s="26"/>
      <c r="J20" s="37"/>
    </row>
    <row r="21" spans="2:10" ht="24" customHeight="1">
      <c r="B21" s="12"/>
      <c r="C21" s="13"/>
      <c r="D21" s="12"/>
      <c r="E21" s="11"/>
      <c r="F21" s="12"/>
      <c r="G21" s="15"/>
      <c r="H21" s="16"/>
      <c r="I21" s="16"/>
      <c r="J21" s="17"/>
    </row>
    <row r="22" spans="2:10" ht="24" customHeight="1">
      <c r="B22" s="12"/>
      <c r="C22" s="13"/>
      <c r="D22" s="12"/>
      <c r="E22" s="11"/>
      <c r="F22" s="28"/>
      <c r="G22" s="27"/>
      <c r="H22" s="26"/>
      <c r="I22" s="26"/>
      <c r="J22" s="17"/>
    </row>
    <row r="23" spans="2:10" ht="24" customHeight="1">
      <c r="B23" s="12"/>
      <c r="C23" s="13"/>
      <c r="D23" s="12"/>
      <c r="E23" s="11"/>
      <c r="F23" s="12"/>
      <c r="G23" s="15"/>
      <c r="H23" s="16"/>
      <c r="I23" s="16"/>
      <c r="J23" s="17"/>
    </row>
    <row r="24" spans="2:10" ht="24" customHeight="1">
      <c r="B24" s="12"/>
      <c r="C24" s="13"/>
      <c r="D24" s="12"/>
      <c r="E24" s="11"/>
      <c r="F24" s="12"/>
      <c r="G24" s="27"/>
      <c r="H24" s="26"/>
      <c r="I24" s="16"/>
      <c r="J24" s="17"/>
    </row>
    <row r="25" spans="2:10" ht="24" customHeight="1">
      <c r="B25" s="12"/>
      <c r="C25" s="13"/>
      <c r="D25" s="12"/>
      <c r="E25" s="11"/>
      <c r="F25" s="12"/>
      <c r="G25" s="15"/>
      <c r="H25" s="16"/>
      <c r="I25" s="16"/>
      <c r="J25" s="17"/>
    </row>
    <row r="26" spans="2:10" ht="24" customHeight="1">
      <c r="B26" s="17"/>
      <c r="C26" s="15"/>
      <c r="D26" s="15"/>
      <c r="E26" s="11"/>
      <c r="F26" s="14"/>
      <c r="G26" s="15"/>
      <c r="H26" s="15" t="s">
        <v>13</v>
      </c>
      <c r="I26" s="15">
        <f>SUM(I10:I25)</f>
        <v>21885600</v>
      </c>
      <c r="J26" s="17"/>
    </row>
    <row r="27" spans="2:10" ht="24" customHeight="1">
      <c r="B27" s="18"/>
      <c r="C27" s="34"/>
      <c r="D27" s="34"/>
      <c r="E27" s="11"/>
      <c r="F27" s="14"/>
      <c r="G27" s="15"/>
      <c r="H27" s="15" t="s">
        <v>14</v>
      </c>
      <c r="I27" s="15">
        <f>I26*10%</f>
        <v>2188560</v>
      </c>
      <c r="J27" s="18"/>
    </row>
    <row r="28" spans="2:10" ht="24" customHeight="1">
      <c r="B28" s="35" t="s">
        <v>8</v>
      </c>
      <c r="C28" s="34">
        <f>SUM(C10:C27)</f>
        <v>9490</v>
      </c>
      <c r="D28" s="34"/>
      <c r="E28" s="33"/>
      <c r="F28" s="32"/>
      <c r="G28" s="19">
        <f>SUM(G10:G27)</f>
        <v>9490</v>
      </c>
      <c r="H28" s="19"/>
      <c r="I28" s="20" t="s">
        <v>9</v>
      </c>
      <c r="J28" s="20">
        <f>I26+I27</f>
        <v>24074160</v>
      </c>
    </row>
    <row r="29" spans="2:10" ht="15" customHeight="1" thickBot="1">
      <c r="B29" s="9"/>
      <c r="C29" s="24"/>
      <c r="D29" s="24"/>
      <c r="E29" s="6"/>
      <c r="F29" s="9"/>
      <c r="G29" s="24"/>
      <c r="H29" s="24"/>
      <c r="I29" s="7"/>
      <c r="J29" s="7"/>
    </row>
    <row r="30" spans="2:10" ht="45" customHeight="1" thickBot="1">
      <c r="B30" s="41" t="s">
        <v>28</v>
      </c>
      <c r="C30" s="42"/>
      <c r="D30" s="42"/>
      <c r="E30" s="42"/>
      <c r="F30" s="43"/>
      <c r="G30" s="30"/>
      <c r="H30" s="29"/>
      <c r="I30" s="7"/>
      <c r="J30" s="21" t="s">
        <v>10</v>
      </c>
    </row>
    <row r="31" spans="2:10" ht="45" customHeight="1">
      <c r="B31" s="44"/>
      <c r="C31" s="45"/>
      <c r="D31" s="45"/>
      <c r="E31" s="45"/>
      <c r="F31" s="46"/>
      <c r="G31" s="30"/>
      <c r="H31" s="29"/>
      <c r="J31" s="31" t="s">
        <v>11</v>
      </c>
    </row>
    <row r="32" spans="2:10" ht="45" customHeight="1" thickBot="1">
      <c r="B32" s="47"/>
      <c r="C32" s="48"/>
      <c r="D32" s="48"/>
      <c r="E32" s="48"/>
      <c r="F32" s="49"/>
      <c r="G32" s="30"/>
      <c r="H32" s="29"/>
      <c r="J32" s="8" t="s">
        <v>12</v>
      </c>
    </row>
    <row r="33" ht="16.5" customHeight="1"/>
    <row r="34" ht="16.5" customHeight="1"/>
    <row r="35" ht="16.5" customHeight="1"/>
    <row r="36" ht="16.5" customHeight="1"/>
    <row r="37" ht="16.5" customHeight="1"/>
    <row r="38" ht="16.5" customHeight="1"/>
  </sheetData>
  <mergeCells count="10">
    <mergeCell ref="B8:D8"/>
    <mergeCell ref="F8:J8"/>
    <mergeCell ref="B30:F32"/>
    <mergeCell ref="B2:D4"/>
    <mergeCell ref="G2:H2"/>
    <mergeCell ref="G3:J3"/>
    <mergeCell ref="G4:J4"/>
    <mergeCell ref="B5:D6"/>
    <mergeCell ref="G5:J5"/>
    <mergeCell ref="G6:J6"/>
  </mergeCells>
  <phoneticPr fontId="2" type="noConversion"/>
  <pageMargins left="0.59055118110236227" right="0.59055118110236227" top="0.51181102362204722" bottom="0.51181102362204722" header="0.31496062992125984" footer="0.31496062992125984"/>
  <pageSetup paperSize="9"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S.T</vt:lpstr>
      <vt:lpstr>S.T (2)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Donga</dc:creator>
  <cp:lastModifiedBy>윤태 노</cp:lastModifiedBy>
  <cp:lastPrinted>2026-07-22T04:31:16Z</cp:lastPrinted>
  <dcterms:created xsi:type="dcterms:W3CDTF">2014-09-29T01:08:48Z</dcterms:created>
  <dcterms:modified xsi:type="dcterms:W3CDTF">2026-08-11T16:02:14Z</dcterms:modified>
</cp:coreProperties>
</file>